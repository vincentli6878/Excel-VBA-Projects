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nce\Downloads\"/>
    </mc:Choice>
  </mc:AlternateContent>
  <xr:revisionPtr revIDLastSave="0" documentId="8_{A7347EBA-8763-4019-AF22-1E843D3F2CEC}" xr6:coauthVersionLast="47" xr6:coauthVersionMax="47" xr10:uidLastSave="{00000000-0000-0000-0000-000000000000}"/>
  <bookViews>
    <workbookView xWindow="-110" yWindow="-110" windowWidth="19420" windowHeight="11500" activeTab="3" xr2:uid="{0229C6E1-E556-408C-AA01-1B6817668D9C}"/>
  </bookViews>
  <sheets>
    <sheet name="Template" sheetId="8" r:id="rId1"/>
    <sheet name="FORM" sheetId="6" r:id="rId2"/>
    <sheet name="MONTHS --&gt;" sheetId="10" r:id="rId3"/>
    <sheet name="Budget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" i="11" l="1"/>
  <c r="AE16" i="11" s="1"/>
  <c r="Z4" i="11"/>
  <c r="AD17" i="11" s="1"/>
  <c r="AI7" i="11" s="1"/>
  <c r="Z6" i="8"/>
  <c r="AE17" i="8" s="1"/>
  <c r="Z4" i="8"/>
  <c r="AD17" i="8" s="1"/>
  <c r="AI7" i="8" s="1"/>
  <c r="AH19" i="11" l="1"/>
  <c r="AI13" i="11"/>
  <c r="AH12" i="11"/>
  <c r="AE6" i="11"/>
  <c r="AE9" i="11"/>
  <c r="AE13" i="11"/>
  <c r="AE17" i="11"/>
  <c r="AH13" i="11"/>
  <c r="AE18" i="11"/>
  <c r="AE11" i="11"/>
  <c r="AH11" i="11"/>
  <c r="AH14" i="11"/>
  <c r="Z5" i="11"/>
  <c r="AD15" i="11"/>
  <c r="AI6" i="11" s="1"/>
  <c r="AE10" i="11"/>
  <c r="AE7" i="11"/>
  <c r="AE14" i="11"/>
  <c r="AE5" i="11"/>
  <c r="AE8" i="11"/>
  <c r="AE12" i="11"/>
  <c r="AE15" i="11"/>
  <c r="AE19" i="11"/>
  <c r="AE5" i="8"/>
  <c r="AE6" i="8"/>
  <c r="AE7" i="8"/>
  <c r="AE10" i="8"/>
  <c r="AE11" i="8"/>
  <c r="AH13" i="8"/>
  <c r="AI13" i="8"/>
  <c r="AI19" i="8" s="1"/>
  <c r="AH19" i="8"/>
  <c r="AH11" i="8"/>
  <c r="AE14" i="8"/>
  <c r="AE18" i="8"/>
  <c r="Z5" i="8"/>
  <c r="AH14" i="8"/>
  <c r="AH12" i="8"/>
  <c r="AE15" i="8"/>
  <c r="AE19" i="8"/>
  <c r="AE8" i="8"/>
  <c r="AE12" i="8"/>
  <c r="AD15" i="8"/>
  <c r="AI6" i="8" s="1"/>
  <c r="AE16" i="8"/>
  <c r="AE9" i="8"/>
  <c r="AE13" i="8"/>
  <c r="AD13" i="11" l="1"/>
  <c r="AD9" i="11"/>
  <c r="AD6" i="11"/>
  <c r="AD11" i="11"/>
  <c r="AD7" i="11"/>
  <c r="AD19" i="11"/>
  <c r="AD12" i="11"/>
  <c r="AD8" i="11"/>
  <c r="AD5" i="11"/>
  <c r="Z8" i="11"/>
  <c r="AD14" i="11"/>
  <c r="AD18" i="11"/>
  <c r="AD10" i="11"/>
  <c r="AD16" i="11"/>
  <c r="Z7" i="11"/>
  <c r="Z9" i="11" s="1"/>
  <c r="AI19" i="11"/>
  <c r="AI12" i="11"/>
  <c r="AI18" i="11" s="1"/>
  <c r="AH18" i="11"/>
  <c r="AD10" i="8"/>
  <c r="AD13" i="8"/>
  <c r="AD7" i="8"/>
  <c r="AD9" i="8"/>
  <c r="AD6" i="8"/>
  <c r="AD19" i="8"/>
  <c r="AD16" i="8"/>
  <c r="AD12" i="8"/>
  <c r="AD5" i="8"/>
  <c r="AI5" i="8" s="1"/>
  <c r="AD8" i="8"/>
  <c r="Z8" i="8"/>
  <c r="AD14" i="8"/>
  <c r="AD11" i="8"/>
  <c r="AD18" i="8"/>
  <c r="Z7" i="8"/>
  <c r="Z9" i="8" s="1"/>
  <c r="AI12" i="8"/>
  <c r="AI18" i="8" s="1"/>
  <c r="AH18" i="8"/>
  <c r="AI5" i="11" l="1"/>
  <c r="AH17" i="11" s="1"/>
  <c r="AI8" i="11"/>
  <c r="AH20" i="11" s="1"/>
  <c r="AI8" i="8"/>
  <c r="AH20" i="8" s="1"/>
  <c r="AI11" i="8"/>
  <c r="AI17" i="8" s="1"/>
  <c r="AH17" i="8"/>
  <c r="AI11" i="11" l="1"/>
  <c r="AI17" i="11" s="1"/>
  <c r="AI14" i="11"/>
  <c r="AI20" i="11" s="1"/>
  <c r="AI14" i="8"/>
  <c r="AI20" i="8" s="1"/>
</calcChain>
</file>

<file path=xl/sharedStrings.xml><?xml version="1.0" encoding="utf-8"?>
<sst xmlns="http://schemas.openxmlformats.org/spreadsheetml/2006/main" count="517" uniqueCount="147">
  <si>
    <t>Chase College (1288)</t>
  </si>
  <si>
    <t>DATE</t>
  </si>
  <si>
    <t>EXPENSES</t>
  </si>
  <si>
    <t>NAME</t>
  </si>
  <si>
    <t>CATEGORY</t>
  </si>
  <si>
    <t>ACCOUNT</t>
  </si>
  <si>
    <t>AMOUNT</t>
  </si>
  <si>
    <t>REVENUE</t>
  </si>
  <si>
    <t>Amount</t>
  </si>
  <si>
    <t>REVENUE &amp; EXPENSES BREAKDOWN</t>
  </si>
  <si>
    <t>Total Revenue:</t>
  </si>
  <si>
    <t>Total Expenses:</t>
  </si>
  <si>
    <t>Food</t>
  </si>
  <si>
    <t>Savings</t>
  </si>
  <si>
    <t>Housing:</t>
  </si>
  <si>
    <t>Transportation:</t>
  </si>
  <si>
    <t>Food:</t>
  </si>
  <si>
    <t>Utilities:</t>
  </si>
  <si>
    <t>% of Total Expenses</t>
  </si>
  <si>
    <t xml:space="preserve">Expenses Breakdown </t>
  </si>
  <si>
    <t>https://localfirstbank.com/article/budgeting-101-personal-budget-categories/</t>
  </si>
  <si>
    <t>Clothing:</t>
  </si>
  <si>
    <t>Medical/Healthcare:</t>
  </si>
  <si>
    <t>Insurance:</t>
  </si>
  <si>
    <t>Household Items/Supplies:</t>
  </si>
  <si>
    <t>Personal:</t>
  </si>
  <si>
    <t>Debt:</t>
  </si>
  <si>
    <t>Education:</t>
  </si>
  <si>
    <t>Savings:</t>
  </si>
  <si>
    <t>Gifts/Donations:</t>
  </si>
  <si>
    <t>Entertainment:</t>
  </si>
  <si>
    <t>Necessities:</t>
  </si>
  <si>
    <t>Retirement/Investments</t>
  </si>
  <si>
    <t>Retirement/Investments:</t>
  </si>
  <si>
    <t>Wants:</t>
  </si>
  <si>
    <t>Financial Goal %</t>
  </si>
  <si>
    <t>Actual %</t>
  </si>
  <si>
    <t>Financial Goal Amount</t>
  </si>
  <si>
    <t>Actual Financial Amount</t>
  </si>
  <si>
    <t>Difference %</t>
  </si>
  <si>
    <t>Difference Amount</t>
  </si>
  <si>
    <t>Amazon 401k</t>
  </si>
  <si>
    <t>Total Expenses %:</t>
  </si>
  <si>
    <t>Remaining Balance:</t>
  </si>
  <si>
    <t>Remaining Balance %:</t>
  </si>
  <si>
    <t>CHARTS</t>
  </si>
  <si>
    <t>Chase Bank</t>
  </si>
  <si>
    <t>Chase College Checking (1288)</t>
  </si>
  <si>
    <t>Chase Savings (2656)</t>
  </si>
  <si>
    <t>$1,000 Credit Limit + Closing Date (26th)</t>
  </si>
  <si>
    <t>Checking Account</t>
  </si>
  <si>
    <t>Savings Account (0.01% Interest)</t>
  </si>
  <si>
    <t>BANK ACCOUNTS</t>
  </si>
  <si>
    <t>Other</t>
  </si>
  <si>
    <t>Amazon Pay</t>
  </si>
  <si>
    <t>Adjustments</t>
  </si>
  <si>
    <t>Chase Freedom Unlimited (3137)</t>
  </si>
  <si>
    <t>Non-Revenue</t>
  </si>
  <si>
    <t>Total Money:</t>
  </si>
  <si>
    <t>% of Total Revenue/Money</t>
  </si>
  <si>
    <t>Friday, June 21st, 2024</t>
  </si>
  <si>
    <t>Adjusting</t>
  </si>
  <si>
    <t>Amazon Food</t>
  </si>
  <si>
    <t>Roth IRA</t>
  </si>
  <si>
    <t>VONS</t>
  </si>
  <si>
    <t>Gifts/Donations</t>
  </si>
  <si>
    <t>Saturday, June 22nd, 2024</t>
  </si>
  <si>
    <t>Sunday, June 23rd, 2024</t>
  </si>
  <si>
    <t>Doordash</t>
  </si>
  <si>
    <t>Carls Jr</t>
  </si>
  <si>
    <t>Monday, June 24th, 2024</t>
  </si>
  <si>
    <t>Robinhood Dividend</t>
  </si>
  <si>
    <t>Haircut</t>
  </si>
  <si>
    <t>Personal</t>
  </si>
  <si>
    <t>Wednesday, June 26th, 2024</t>
  </si>
  <si>
    <t>Friday, June 28th, 2024</t>
  </si>
  <si>
    <t>Amazon 401K</t>
  </si>
  <si>
    <t>Thursday, June 27th, 2024</t>
  </si>
  <si>
    <t>Kohls</t>
  </si>
  <si>
    <t>Robinhood Dividends</t>
  </si>
  <si>
    <t>Saturday, June 29th, 2024</t>
  </si>
  <si>
    <t>Marcozo Jewlery</t>
  </si>
  <si>
    <t>Entertainment</t>
  </si>
  <si>
    <t>Friday, July 5th, 2024</t>
  </si>
  <si>
    <t>Fast 5 Garden Grove 23</t>
  </si>
  <si>
    <t>Transportation</t>
  </si>
  <si>
    <t>Chase Freedom Unlimited (8205)</t>
  </si>
  <si>
    <t>Freedom Unlimited (8205)</t>
  </si>
  <si>
    <t>Freedom Unlimited  (8205)</t>
  </si>
  <si>
    <t xml:space="preserve">Arco </t>
  </si>
  <si>
    <t>Medical/Healthcare</t>
  </si>
  <si>
    <t>Thomas Burgers</t>
  </si>
  <si>
    <t>Two Hands Little Tokyo</t>
  </si>
  <si>
    <t>Yamazaki California</t>
  </si>
  <si>
    <t>Sunday, June 30th, 2024</t>
  </si>
  <si>
    <t>Catch One</t>
  </si>
  <si>
    <t>Wendys</t>
  </si>
  <si>
    <t>Ju and Wei</t>
  </si>
  <si>
    <t>Monday, July 1st, 2024</t>
  </si>
  <si>
    <t>7-Eleven</t>
  </si>
  <si>
    <t>Raising Canes</t>
  </si>
  <si>
    <t>Thursday, July 4th, 2024</t>
  </si>
  <si>
    <t>Apple Digital Services</t>
  </si>
  <si>
    <t>USH Online Ticket Store</t>
  </si>
  <si>
    <t>G and M</t>
  </si>
  <si>
    <t>Saturday, July 6th, 2024</t>
  </si>
  <si>
    <t>Lard Lad Donuts</t>
  </si>
  <si>
    <t>Starbucks</t>
  </si>
  <si>
    <t>USH Parking RC</t>
  </si>
  <si>
    <t>ButterBeer Cart</t>
  </si>
  <si>
    <t>Toadstool Café</t>
  </si>
  <si>
    <t>Sunday, July 7th, 2024</t>
  </si>
  <si>
    <t>Jack In The Box</t>
  </si>
  <si>
    <t>Little Caesars</t>
  </si>
  <si>
    <t>Monday, July 8th, 2024</t>
  </si>
  <si>
    <t>Amazon Fresh</t>
  </si>
  <si>
    <t>Walmart</t>
  </si>
  <si>
    <t>Tuesday, July 9th, 2024</t>
  </si>
  <si>
    <t>Circle K</t>
  </si>
  <si>
    <t>Amazon</t>
  </si>
  <si>
    <t>Joes Auto Parks Little Los Angeles</t>
  </si>
  <si>
    <t xml:space="preserve">Catch One </t>
  </si>
  <si>
    <t>Robinhood</t>
  </si>
  <si>
    <t>M1 Finance</t>
  </si>
  <si>
    <t>Tuesday, June 25th, 2024</t>
  </si>
  <si>
    <t>Target</t>
  </si>
  <si>
    <t>Friday, July 12th, 2024</t>
  </si>
  <si>
    <t>Wednesday, July 10th, 2024</t>
  </si>
  <si>
    <t>Saturday, July 13th, 2024</t>
  </si>
  <si>
    <t>Rosario</t>
  </si>
  <si>
    <t>Zelle Abby</t>
  </si>
  <si>
    <t>Mcdonalds</t>
  </si>
  <si>
    <t>Nordstrom</t>
  </si>
  <si>
    <t>Freedom (Unlimited (8205)</t>
  </si>
  <si>
    <t>Pronto Café Citadel</t>
  </si>
  <si>
    <t>BiBiBop OO</t>
  </si>
  <si>
    <t>Santa Monica Parking Violation</t>
  </si>
  <si>
    <t>Laduree Glendale T</t>
  </si>
  <si>
    <t>Sunday, July 14th, 2024</t>
  </si>
  <si>
    <t>Olive Garden</t>
  </si>
  <si>
    <t>Monday, July 15th, 2024</t>
  </si>
  <si>
    <t>Tuesday, July 16th, 2024</t>
  </si>
  <si>
    <t xml:space="preserve">Amazon </t>
  </si>
  <si>
    <t>MyLift</t>
  </si>
  <si>
    <t>Friday, July 19th, 2024</t>
  </si>
  <si>
    <t>World Oil Co</t>
  </si>
  <si>
    <t>Spotify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</si>
</sst>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[$-F800]dddd\,\ mmmm\ dd\,\ yyyy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22"/>
      <color rgb="FFFF0000"/>
      <name val="Aptos Narrow"/>
      <family val="2"/>
      <scheme val="minor"/>
    </font>
    <font>
      <sz val="18"/>
      <color rgb="FFFF0000"/>
      <name val="Aptos Narrow"/>
      <family val="2"/>
      <scheme val="minor"/>
    </font>
    <font>
      <i/>
      <sz val="18"/>
      <color theme="1"/>
      <name val="Aptos Narrow"/>
      <family val="2"/>
      <scheme val="minor"/>
    </font>
    <font>
      <u/>
      <sz val="2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22"/>
      <color rgb="FF7030A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0" xfId="0" applyFont="1" applyAlignment="1">
      <alignment horizontal="center"/>
    </xf>
    <xf numFmtId="0" fontId="0" fillId="0" borderId="3" xfId="0" applyBorder="1"/>
    <xf numFmtId="0" fontId="3" fillId="3" borderId="0" xfId="0" applyFont="1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3" fillId="0" borderId="3" xfId="0" applyFont="1" applyBorder="1"/>
    <xf numFmtId="44" fontId="5" fillId="0" borderId="11" xfId="1" applyFont="1" applyBorder="1" applyAlignment="1">
      <alignment horizontal="center"/>
    </xf>
    <xf numFmtId="164" fontId="5" fillId="0" borderId="11" xfId="0" applyNumberFormat="1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164" fontId="6" fillId="0" borderId="11" xfId="0" applyNumberFormat="1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44" fontId="6" fillId="0" borderId="11" xfId="1" applyFont="1" applyBorder="1" applyAlignment="1">
      <alignment horizontal="center"/>
    </xf>
    <xf numFmtId="164" fontId="5" fillId="0" borderId="12" xfId="0" applyNumberFormat="1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44" fontId="4" fillId="0" borderId="12" xfId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/>
    <xf numFmtId="0" fontId="8" fillId="0" borderId="0" xfId="0" applyFont="1" applyAlignment="1">
      <alignment horizontal="right"/>
    </xf>
    <xf numFmtId="44" fontId="8" fillId="0" borderId="0" xfId="1" applyFont="1"/>
    <xf numFmtId="44" fontId="6" fillId="0" borderId="11" xfId="1" applyFont="1" applyBorder="1"/>
    <xf numFmtId="14" fontId="6" fillId="0" borderId="11" xfId="0" applyNumberFormat="1" applyFont="1" applyBorder="1" applyAlignment="1">
      <alignment horizontal="center"/>
    </xf>
    <xf numFmtId="44" fontId="6" fillId="0" borderId="11" xfId="1" applyFont="1" applyBorder="1" applyAlignment="1">
      <alignment horizontal="right"/>
    </xf>
    <xf numFmtId="9" fontId="0" fillId="0" borderId="0" xfId="0" applyNumberFormat="1"/>
    <xf numFmtId="10" fontId="10" fillId="0" borderId="0" xfId="2" applyNumberFormat="1" applyFont="1"/>
    <xf numFmtId="10" fontId="6" fillId="0" borderId="11" xfId="2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10" fontId="11" fillId="0" borderId="17" xfId="0" applyNumberFormat="1" applyFont="1" applyBorder="1" applyAlignment="1">
      <alignment horizontal="center"/>
    </xf>
    <xf numFmtId="0" fontId="12" fillId="0" borderId="16" xfId="0" applyFont="1" applyBorder="1" applyAlignment="1">
      <alignment horizontal="right"/>
    </xf>
    <xf numFmtId="0" fontId="12" fillId="0" borderId="18" xfId="0" applyFont="1" applyBorder="1" applyAlignment="1">
      <alignment horizontal="right"/>
    </xf>
    <xf numFmtId="10" fontId="11" fillId="0" borderId="11" xfId="2" applyNumberFormat="1" applyFont="1" applyBorder="1" applyAlignment="1">
      <alignment horizontal="center"/>
    </xf>
    <xf numFmtId="9" fontId="12" fillId="0" borderId="0" xfId="0" applyNumberFormat="1" applyFont="1" applyAlignment="1">
      <alignment horizontal="right"/>
    </xf>
    <xf numFmtId="44" fontId="11" fillId="0" borderId="17" xfId="0" applyNumberFormat="1" applyFont="1" applyBorder="1"/>
    <xf numFmtId="44" fontId="11" fillId="0" borderId="20" xfId="0" applyNumberFormat="1" applyFont="1" applyBorder="1"/>
    <xf numFmtId="10" fontId="11" fillId="0" borderId="16" xfId="2" applyNumberFormat="1" applyFont="1" applyBorder="1" applyAlignment="1">
      <alignment horizontal="center"/>
    </xf>
    <xf numFmtId="10" fontId="11" fillId="0" borderId="18" xfId="2" applyNumberFormat="1" applyFont="1" applyBorder="1" applyAlignment="1">
      <alignment horizontal="center"/>
    </xf>
    <xf numFmtId="8" fontId="6" fillId="0" borderId="11" xfId="1" applyNumberFormat="1" applyFont="1" applyBorder="1"/>
    <xf numFmtId="9" fontId="6" fillId="0" borderId="16" xfId="0" applyNumberFormat="1" applyFont="1" applyBorder="1" applyAlignment="1">
      <alignment horizontal="center"/>
    </xf>
    <xf numFmtId="10" fontId="11" fillId="0" borderId="20" xfId="0" applyNumberFormat="1" applyFont="1" applyBorder="1" applyAlignment="1">
      <alignment horizontal="center"/>
    </xf>
    <xf numFmtId="0" fontId="3" fillId="0" borderId="13" xfId="0" applyFont="1" applyBorder="1"/>
    <xf numFmtId="44" fontId="6" fillId="0" borderId="16" xfId="0" applyNumberFormat="1" applyFont="1" applyBorder="1"/>
    <xf numFmtId="10" fontId="6" fillId="0" borderId="17" xfId="0" applyNumberFormat="1" applyFont="1" applyBorder="1" applyAlignment="1">
      <alignment horizontal="center"/>
    </xf>
    <xf numFmtId="44" fontId="6" fillId="0" borderId="17" xfId="0" applyNumberFormat="1" applyFont="1" applyBorder="1"/>
    <xf numFmtId="10" fontId="6" fillId="0" borderId="16" xfId="2" applyNumberFormat="1" applyFont="1" applyBorder="1" applyAlignment="1">
      <alignment horizontal="center"/>
    </xf>
    <xf numFmtId="9" fontId="11" fillId="0" borderId="16" xfId="0" applyNumberFormat="1" applyFont="1" applyBorder="1" applyAlignment="1">
      <alignment horizontal="center"/>
    </xf>
    <xf numFmtId="9" fontId="11" fillId="0" borderId="18" xfId="0" applyNumberFormat="1" applyFont="1" applyBorder="1" applyAlignment="1">
      <alignment horizontal="center"/>
    </xf>
    <xf numFmtId="44" fontId="11" fillId="0" borderId="16" xfId="0" applyNumberFormat="1" applyFont="1" applyBorder="1"/>
    <xf numFmtId="44" fontId="11" fillId="0" borderId="18" xfId="0" applyNumberFormat="1" applyFont="1" applyBorder="1"/>
    <xf numFmtId="44" fontId="11" fillId="0" borderId="11" xfId="1" applyFont="1" applyBorder="1"/>
    <xf numFmtId="10" fontId="11" fillId="0" borderId="19" xfId="2" applyNumberFormat="1" applyFont="1" applyBorder="1" applyAlignment="1">
      <alignment horizontal="center"/>
    </xf>
    <xf numFmtId="44" fontId="10" fillId="0" borderId="0" xfId="0" applyNumberFormat="1" applyFont="1"/>
    <xf numFmtId="10" fontId="0" fillId="0" borderId="3" xfId="0" applyNumberFormat="1" applyBorder="1"/>
    <xf numFmtId="0" fontId="3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16" xfId="0" applyFont="1" applyBorder="1"/>
    <xf numFmtId="0" fontId="6" fillId="0" borderId="17" xfId="0" applyFont="1" applyBorder="1" applyAlignment="1">
      <alignment horizontal="center"/>
    </xf>
    <xf numFmtId="0" fontId="6" fillId="0" borderId="18" xfId="0" applyFont="1" applyBorder="1"/>
    <xf numFmtId="0" fontId="6" fillId="0" borderId="20" xfId="0" applyFont="1" applyBorder="1" applyAlignment="1">
      <alignment horizontal="center"/>
    </xf>
    <xf numFmtId="44" fontId="11" fillId="0" borderId="19" xfId="1" applyFont="1" applyBorder="1"/>
    <xf numFmtId="44" fontId="4" fillId="0" borderId="0" xfId="1" applyFont="1" applyBorder="1" applyAlignment="1">
      <alignment horizontal="center"/>
    </xf>
    <xf numFmtId="44" fontId="6" fillId="0" borderId="0" xfId="1" applyFont="1" applyBorder="1"/>
    <xf numFmtId="8" fontId="6" fillId="0" borderId="0" xfId="1" applyNumberFormat="1" applyFont="1" applyBorder="1"/>
    <xf numFmtId="44" fontId="4" fillId="0" borderId="11" xfId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44" fontId="4" fillId="0" borderId="23" xfId="1" applyFont="1" applyBorder="1" applyAlignment="1">
      <alignment horizontal="center"/>
    </xf>
    <xf numFmtId="44" fontId="6" fillId="0" borderId="23" xfId="1" applyFont="1" applyBorder="1"/>
    <xf numFmtId="8" fontId="6" fillId="0" borderId="23" xfId="1" applyNumberFormat="1" applyFont="1" applyBorder="1"/>
    <xf numFmtId="44" fontId="0" fillId="0" borderId="0" xfId="0" applyNumberFormat="1"/>
    <xf numFmtId="0" fontId="3" fillId="7" borderId="1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13" fillId="0" borderId="0" xfId="3" applyFont="1" applyAlignment="1">
      <alignment horizontal="center"/>
    </xf>
    <xf numFmtId="0" fontId="7" fillId="0" borderId="0" xfId="0" applyFont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15" fillId="8" borderId="11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859911518792111E-2"/>
          <c:y val="0.11470025510204082"/>
          <c:w val="0.55977233676975946"/>
          <c:h val="0.8310905612244897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417-44C3-AE67-B0A729B622F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E417-44C3-AE67-B0A729B622F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2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0260539275374081"/>
          <c:y val="0.11331225895870156"/>
          <c:w val="0.37162141136997051"/>
          <c:h val="0.8115448738550539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859911518792111E-2"/>
          <c:y val="0.11470025510204082"/>
          <c:w val="0.55977233676975946"/>
          <c:h val="0.8310905612244897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34-469F-AC69-CC5997ECEB8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5834-469F-AC69-CC5997ECEB8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2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0260539275374081"/>
          <c:y val="0.11331225895870156"/>
          <c:w val="0.37162141136997051"/>
          <c:h val="0.8115448738550539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859911518792111E-2"/>
          <c:y val="0.11470025510204082"/>
          <c:w val="0.55977233676975946"/>
          <c:h val="0.8310905612244897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6FE-42A8-9E2E-D27D5C3C975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A6FE-42A8-9E2E-D27D5C3C975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2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0260539275374081"/>
          <c:y val="0.11331225895870156"/>
          <c:w val="0.37162141136997051"/>
          <c:h val="0.8115448738550539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859911518792111E-2"/>
          <c:y val="0.11470025510204082"/>
          <c:w val="0.55977233676975946"/>
          <c:h val="0.8310905612244897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543-4F7C-894C-4FF7AA4D1EA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2543-4F7C-894C-4FF7AA4D1EA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2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0260539275374081"/>
          <c:y val="0.11331225895870156"/>
          <c:w val="0.37162141136997051"/>
          <c:h val="0.8115448738550539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164-403E-ACB9-0DEECF5F8C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AC6-4871-AB18-B4686B66EF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AC6-4871-AB18-B4686B66EF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AC6-4871-AB18-B4686B66EF4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Budget!$AG$5:$AG$8</c:f>
              <c:strCache>
                <c:ptCount val="4"/>
                <c:pt idx="0">
                  <c:v>Necessities:</c:v>
                </c:pt>
                <c:pt idx="1">
                  <c:v>Retirement/Investments:</c:v>
                </c:pt>
                <c:pt idx="2">
                  <c:v>Savings:</c:v>
                </c:pt>
                <c:pt idx="3">
                  <c:v>Wants:</c:v>
                </c:pt>
              </c:strCache>
            </c:strRef>
          </c:cat>
          <c:val>
            <c:numRef>
              <c:f>Budget!$AH$5:$AH$8</c:f>
              <c:numCache>
                <c:formatCode>0%</c:formatCode>
                <c:ptCount val="4"/>
                <c:pt idx="0">
                  <c:v>0.6</c:v>
                </c:pt>
                <c:pt idx="1">
                  <c:v>0.2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4-403E-ACB9-0DEECF5F8C1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144169318304388"/>
          <c:y val="0.31857437182240333"/>
          <c:w val="0.36605830681695611"/>
          <c:h val="0.4152111667859698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1B4-4252-A7AE-31F27629F9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1B4-4252-A7AE-31F27629F9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1B4-4252-A7AE-31F27629F9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1B4-4252-A7AE-31F27629F99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Budget!$AG$5:$AG$8</c:f>
              <c:strCache>
                <c:ptCount val="4"/>
                <c:pt idx="0">
                  <c:v>Necessities:</c:v>
                </c:pt>
                <c:pt idx="1">
                  <c:v>Retirement/Investments:</c:v>
                </c:pt>
                <c:pt idx="2">
                  <c:v>Savings:</c:v>
                </c:pt>
                <c:pt idx="3">
                  <c:v>Wants:</c:v>
                </c:pt>
              </c:strCache>
            </c:strRef>
          </c:cat>
          <c:val>
            <c:numRef>
              <c:f>Budget!$AI$5:$AI$8</c:f>
              <c:numCache>
                <c:formatCode>0.00%</c:formatCode>
                <c:ptCount val="4"/>
                <c:pt idx="0">
                  <c:v>0.24359039846601788</c:v>
                </c:pt>
                <c:pt idx="1">
                  <c:v>0.20140584047549076</c:v>
                </c:pt>
                <c:pt idx="2">
                  <c:v>0.43982494967003133</c:v>
                </c:pt>
                <c:pt idx="3">
                  <c:v>0.10779918350026131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0-4739-BB8D-76BBC09F310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1439218995678"/>
          <c:y val="0.33067017208338539"/>
          <c:w val="0.36332568120510506"/>
          <c:h val="0.3715343615046670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120650</xdr:colOff>
          <xdr:row>9</xdr:row>
          <xdr:rowOff>298450</xdr:rowOff>
        </xdr:from>
        <xdr:to>
          <xdr:col>25</xdr:col>
          <xdr:colOff>1574800</xdr:colOff>
          <xdr:row>13</xdr:row>
          <xdr:rowOff>158750</xdr:rowOff>
        </xdr:to>
        <xdr:sp macro="" textlink="">
          <xdr:nvSpPr>
            <xdr:cNvPr id="3073" name="ExpensesBreak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37</xdr:col>
      <xdr:colOff>0</xdr:colOff>
      <xdr:row>2</xdr:row>
      <xdr:rowOff>162560</xdr:rowOff>
    </xdr:from>
    <xdr:to>
      <xdr:col>43</xdr:col>
      <xdr:colOff>10160</xdr:colOff>
      <xdr:row>13</xdr:row>
      <xdr:rowOff>264160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15</xdr:row>
      <xdr:rowOff>0</xdr:rowOff>
    </xdr:from>
    <xdr:to>
      <xdr:col>43</xdr:col>
      <xdr:colOff>10160</xdr:colOff>
      <xdr:row>26</xdr:row>
      <xdr:rowOff>254000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0</xdr:colOff>
      <xdr:row>2</xdr:row>
      <xdr:rowOff>162560</xdr:rowOff>
    </xdr:from>
    <xdr:to>
      <xdr:col>43</xdr:col>
      <xdr:colOff>10160</xdr:colOff>
      <xdr:row>13</xdr:row>
      <xdr:rowOff>264160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15</xdr:row>
      <xdr:rowOff>0</xdr:rowOff>
    </xdr:from>
    <xdr:to>
      <xdr:col>43</xdr:col>
      <xdr:colOff>10160</xdr:colOff>
      <xdr:row>26</xdr:row>
      <xdr:rowOff>254000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</xdr:row>
          <xdr:rowOff>152400</xdr:rowOff>
        </xdr:from>
        <xdr:to>
          <xdr:col>6</xdr:col>
          <xdr:colOff>69850</xdr:colOff>
          <xdr:row>6</xdr:row>
          <xdr:rowOff>152400</xdr:rowOff>
        </xdr:to>
        <xdr:sp macro="" textlink="">
          <xdr:nvSpPr>
            <xdr:cNvPr id="2050" name="RevenueCB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158750</xdr:rowOff>
        </xdr:from>
        <xdr:to>
          <xdr:col>11</xdr:col>
          <xdr:colOff>450850</xdr:colOff>
          <xdr:row>6</xdr:row>
          <xdr:rowOff>158750</xdr:rowOff>
        </xdr:to>
        <xdr:sp macro="" textlink="">
          <xdr:nvSpPr>
            <xdr:cNvPr id="2051" name="ExpensesCB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9</xdr:row>
          <xdr:rowOff>44450</xdr:rowOff>
        </xdr:from>
        <xdr:to>
          <xdr:col>9</xdr:col>
          <xdr:colOff>44450</xdr:colOff>
          <xdr:row>13</xdr:row>
          <xdr:rowOff>44450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120650</xdr:colOff>
          <xdr:row>9</xdr:row>
          <xdr:rowOff>298450</xdr:rowOff>
        </xdr:from>
        <xdr:to>
          <xdr:col>25</xdr:col>
          <xdr:colOff>1574800</xdr:colOff>
          <xdr:row>13</xdr:row>
          <xdr:rowOff>158750</xdr:rowOff>
        </xdr:to>
        <xdr:sp macro="" textlink="">
          <xdr:nvSpPr>
            <xdr:cNvPr id="7169" name="ExpensesBreakdow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37</xdr:col>
      <xdr:colOff>13855</xdr:colOff>
      <xdr:row>14</xdr:row>
      <xdr:rowOff>193965</xdr:rowOff>
    </xdr:from>
    <xdr:to>
      <xdr:col>43</xdr:col>
      <xdr:colOff>235527</xdr:colOff>
      <xdr:row>27</xdr:row>
      <xdr:rowOff>180110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</xdr:colOff>
      <xdr:row>1</xdr:row>
      <xdr:rowOff>332509</xdr:rowOff>
    </xdr:from>
    <xdr:to>
      <xdr:col>43</xdr:col>
      <xdr:colOff>207820</xdr:colOff>
      <xdr:row>13</xdr:row>
      <xdr:rowOff>69272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calfirstbank.com/article/budgeting-101-personal-budget-categories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localfirstbank.com/article/budgeting-101-personal-budget-categories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64520-027A-4E8F-8601-A82BB8F2099C}">
  <sheetPr codeName="Sheet3"/>
  <dimension ref="A1:AR29"/>
  <sheetViews>
    <sheetView topLeftCell="L1" zoomScale="75" zoomScaleNormal="75" workbookViewId="0">
      <selection activeCell="C13" sqref="C13"/>
    </sheetView>
  </sheetViews>
  <sheetFormatPr defaultRowHeight="23.5" x14ac:dyDescent="0.55000000000000004"/>
  <cols>
    <col min="1" max="1" width="8.90625" style="6"/>
    <col min="2" max="2" width="47.6328125" bestFit="1" customWidth="1"/>
    <col min="3" max="3" width="58.453125" customWidth="1"/>
    <col min="4" max="4" width="8.90625" style="2"/>
    <col min="5" max="5" width="8.90625" customWidth="1"/>
    <col min="6" max="6" width="37.90625" style="12" bestFit="1" customWidth="1"/>
    <col min="7" max="7" width="30.36328125" style="13" bestFit="1" customWidth="1"/>
    <col min="8" max="8" width="33.81640625" style="14" bestFit="1" customWidth="1"/>
    <col min="9" max="9" width="26.81640625" style="22" customWidth="1"/>
    <col min="10" max="10" width="8.90625" style="66"/>
    <col min="11" max="11" width="8.90625" style="71" customWidth="1"/>
    <col min="12" max="12" width="38" style="22" customWidth="1"/>
    <col min="13" max="13" width="30.36328125" style="22" customWidth="1"/>
    <col min="14" max="14" width="33.81640625" style="22" bestFit="1" customWidth="1"/>
    <col min="15" max="15" width="26.81640625" style="22" customWidth="1"/>
    <col min="16" max="16" width="8.90625" style="2"/>
    <col min="17" max="17" width="7.6328125" style="7" bestFit="1" customWidth="1"/>
    <col min="18" max="18" width="41" style="13" bestFit="1" customWidth="1"/>
    <col min="19" max="19" width="40" style="13" customWidth="1"/>
    <col min="20" max="20" width="35.08984375" style="13" bestFit="1" customWidth="1"/>
    <col min="21" max="21" width="40.1796875" style="14" bestFit="1" customWidth="1"/>
    <col min="22" max="22" width="33.54296875" style="24" customWidth="1"/>
    <col min="23" max="23" width="8.90625" style="2"/>
    <col min="25" max="25" width="39.1796875" bestFit="1" customWidth="1"/>
    <col min="26" max="26" width="28.81640625" bestFit="1" customWidth="1"/>
    <col min="27" max="27" width="12.54296875" customWidth="1"/>
    <col min="28" max="28" width="40.453125" bestFit="1" customWidth="1"/>
    <col min="29" max="29" width="21.453125" style="19" customWidth="1"/>
    <col min="30" max="30" width="47.6328125" bestFit="1" customWidth="1"/>
    <col min="31" max="31" width="36.08984375" bestFit="1" customWidth="1"/>
    <col min="32" max="32" width="12" customWidth="1"/>
    <col min="33" max="33" width="37.36328125" bestFit="1" customWidth="1"/>
    <col min="34" max="34" width="41.453125" bestFit="1" customWidth="1"/>
    <col min="35" max="35" width="44.6328125" bestFit="1" customWidth="1"/>
    <col min="36" max="36" width="8.90625" style="2"/>
    <col min="37" max="37" width="8.81640625" customWidth="1"/>
    <col min="38" max="38" width="24.08984375" bestFit="1" customWidth="1"/>
    <col min="39" max="39" width="34.81640625" bestFit="1" customWidth="1"/>
    <col min="44" max="44" width="8.90625" style="2"/>
  </cols>
  <sheetData>
    <row r="1" spans="1:43" ht="29" thickBot="1" x14ac:dyDescent="0.7">
      <c r="A1" s="4"/>
      <c r="B1" s="81" t="s">
        <v>52</v>
      </c>
      <c r="C1" s="81"/>
      <c r="D1" s="5"/>
      <c r="F1" s="82" t="s">
        <v>7</v>
      </c>
      <c r="G1" s="83"/>
      <c r="H1" s="83"/>
      <c r="I1" s="84"/>
      <c r="J1" s="18"/>
      <c r="K1" s="69"/>
      <c r="L1" s="85" t="s">
        <v>57</v>
      </c>
      <c r="M1" s="85"/>
      <c r="N1" s="85"/>
      <c r="O1" s="85"/>
      <c r="R1" s="86" t="s">
        <v>2</v>
      </c>
      <c r="S1" s="86"/>
      <c r="T1" s="86"/>
      <c r="U1" s="86"/>
      <c r="V1" s="86"/>
      <c r="Y1" s="87" t="s">
        <v>9</v>
      </c>
      <c r="Z1" s="88"/>
      <c r="AA1" s="88"/>
      <c r="AB1" s="88"/>
      <c r="AC1" s="88"/>
      <c r="AD1" s="88"/>
      <c r="AE1" s="88"/>
      <c r="AF1" s="88"/>
      <c r="AG1" s="88"/>
      <c r="AH1" s="88"/>
      <c r="AI1" s="89"/>
      <c r="AJ1" s="8"/>
      <c r="AK1" s="56"/>
      <c r="AL1" s="74" t="s">
        <v>45</v>
      </c>
      <c r="AM1" s="75"/>
      <c r="AN1" s="75"/>
      <c r="AO1" s="75"/>
      <c r="AP1" s="75"/>
      <c r="AQ1" s="76"/>
    </row>
    <row r="2" spans="1:43" ht="29" thickBot="1" x14ac:dyDescent="0.7">
      <c r="B2" s="57"/>
      <c r="C2" s="57"/>
      <c r="E2" s="3"/>
      <c r="F2" s="15" t="s">
        <v>1</v>
      </c>
      <c r="G2" s="16" t="s">
        <v>3</v>
      </c>
      <c r="H2" s="17" t="s">
        <v>5</v>
      </c>
      <c r="I2" s="17" t="s">
        <v>6</v>
      </c>
      <c r="J2" s="65"/>
      <c r="K2" s="70"/>
      <c r="L2" s="10" t="s">
        <v>1</v>
      </c>
      <c r="M2" s="11" t="s">
        <v>3</v>
      </c>
      <c r="N2" s="68" t="s">
        <v>5</v>
      </c>
      <c r="O2" s="68" t="s">
        <v>6</v>
      </c>
      <c r="P2" s="8"/>
      <c r="R2" s="10" t="s">
        <v>1</v>
      </c>
      <c r="S2" s="11" t="s">
        <v>3</v>
      </c>
      <c r="T2" s="11" t="s">
        <v>4</v>
      </c>
      <c r="U2" s="11" t="s">
        <v>5</v>
      </c>
      <c r="V2" s="9" t="s">
        <v>6</v>
      </c>
      <c r="Y2" s="77" t="s">
        <v>20</v>
      </c>
      <c r="Z2" s="78"/>
      <c r="AA2" s="78"/>
      <c r="AB2" s="78"/>
    </row>
    <row r="3" spans="1:43" ht="24" customHeight="1" thickBot="1" x14ac:dyDescent="0.65">
      <c r="B3" s="79" t="s">
        <v>46</v>
      </c>
      <c r="C3" s="80"/>
      <c r="L3" s="12"/>
      <c r="M3" s="13"/>
      <c r="N3" s="14"/>
      <c r="R3" s="23"/>
    </row>
    <row r="4" spans="1:43" ht="28.5" x14ac:dyDescent="0.65">
      <c r="B4" s="58" t="s">
        <v>47</v>
      </c>
      <c r="C4" s="59" t="s">
        <v>50</v>
      </c>
      <c r="E4" s="1"/>
      <c r="L4" s="12"/>
      <c r="M4" s="13"/>
      <c r="N4" s="14"/>
      <c r="R4" s="23"/>
      <c r="Y4" s="20" t="s">
        <v>10</v>
      </c>
      <c r="Z4" s="21">
        <f>SUM(I3:I1048576)</f>
        <v>0</v>
      </c>
      <c r="AB4" s="28" t="s">
        <v>19</v>
      </c>
      <c r="AC4" s="29" t="s">
        <v>8</v>
      </c>
      <c r="AD4" s="29" t="s">
        <v>59</v>
      </c>
      <c r="AE4" s="29" t="s">
        <v>18</v>
      </c>
      <c r="AG4" s="18"/>
      <c r="AH4" s="28" t="s">
        <v>35</v>
      </c>
      <c r="AI4" s="30" t="s">
        <v>36</v>
      </c>
    </row>
    <row r="5" spans="1:43" ht="28.5" x14ac:dyDescent="0.65">
      <c r="B5" s="60" t="s">
        <v>48</v>
      </c>
      <c r="C5" s="61" t="s">
        <v>51</v>
      </c>
      <c r="I5" s="40"/>
      <c r="L5" s="12"/>
      <c r="M5" s="12"/>
      <c r="N5" s="14"/>
      <c r="Y5" s="20" t="s">
        <v>58</v>
      </c>
      <c r="Z5" s="21">
        <f>SUM(Z4)+SUM(O3:O1048576)</f>
        <v>0</v>
      </c>
      <c r="AB5" s="32" t="s">
        <v>14</v>
      </c>
      <c r="AC5" s="52"/>
      <c r="AD5" s="34" t="e">
        <f t="shared" ref="AD5:AD14" si="0">AC5/Z$5</f>
        <v>#DIV/0!</v>
      </c>
      <c r="AE5" s="34" t="e">
        <f t="shared" ref="AE5:AE19" si="1">AC5/Z$6</f>
        <v>#DIV/0!</v>
      </c>
      <c r="AG5" s="35" t="s">
        <v>31</v>
      </c>
      <c r="AH5" s="48">
        <v>0.6</v>
      </c>
      <c r="AI5" s="31" t="e">
        <f>SUM(AD5:AD14,AD16)</f>
        <v>#DIV/0!</v>
      </c>
    </row>
    <row r="6" spans="1:43" ht="29" thickBot="1" x14ac:dyDescent="0.7">
      <c r="B6" s="62" t="s">
        <v>56</v>
      </c>
      <c r="C6" s="63" t="s">
        <v>49</v>
      </c>
      <c r="L6" s="12"/>
      <c r="M6" s="13"/>
      <c r="N6" s="14"/>
      <c r="Y6" s="20" t="s">
        <v>11</v>
      </c>
      <c r="Z6" s="21">
        <f>SUM(V3:V1048576)</f>
        <v>0</v>
      </c>
      <c r="AB6" s="32" t="s">
        <v>15</v>
      </c>
      <c r="AC6" s="52"/>
      <c r="AD6" s="34" t="e">
        <f t="shared" si="0"/>
        <v>#DIV/0!</v>
      </c>
      <c r="AE6" s="34" t="e">
        <f t="shared" si="1"/>
        <v>#DIV/0!</v>
      </c>
      <c r="AG6" s="35" t="s">
        <v>33</v>
      </c>
      <c r="AH6" s="41">
        <v>0.2</v>
      </c>
      <c r="AI6" s="45" t="e">
        <f>AD15</f>
        <v>#DIV/0!</v>
      </c>
      <c r="AJ6" s="55"/>
    </row>
    <row r="7" spans="1:43" ht="28.5" x14ac:dyDescent="0.65">
      <c r="Y7" s="20" t="s">
        <v>42</v>
      </c>
      <c r="Z7" s="26" t="e">
        <f>Z6/Z5</f>
        <v>#DIV/0!</v>
      </c>
      <c r="AB7" s="32" t="s">
        <v>16</v>
      </c>
      <c r="AC7" s="52"/>
      <c r="AD7" s="34" t="e">
        <f t="shared" si="0"/>
        <v>#DIV/0!</v>
      </c>
      <c r="AE7" s="34" t="e">
        <f t="shared" si="1"/>
        <v>#DIV/0!</v>
      </c>
      <c r="AG7" s="35" t="s">
        <v>28</v>
      </c>
      <c r="AH7" s="41">
        <v>0.1</v>
      </c>
      <c r="AI7" s="45" t="e">
        <f>AD17</f>
        <v>#DIV/0!</v>
      </c>
    </row>
    <row r="8" spans="1:43" ht="29" thickBot="1" x14ac:dyDescent="0.7">
      <c r="J8" s="67"/>
      <c r="K8" s="72"/>
      <c r="L8" s="40"/>
      <c r="M8" s="40"/>
      <c r="N8" s="40"/>
      <c r="Y8" s="20" t="s">
        <v>43</v>
      </c>
      <c r="Z8" s="54">
        <f>Z5-Z6</f>
        <v>0</v>
      </c>
      <c r="AB8" s="32" t="s">
        <v>17</v>
      </c>
      <c r="AC8" s="52"/>
      <c r="AD8" s="34" t="e">
        <f t="shared" si="0"/>
        <v>#DIV/0!</v>
      </c>
      <c r="AE8" s="34" t="e">
        <f t="shared" si="1"/>
        <v>#DIV/0!</v>
      </c>
      <c r="AG8" s="35" t="s">
        <v>34</v>
      </c>
      <c r="AH8" s="49">
        <v>0.1</v>
      </c>
      <c r="AI8" s="42" t="e">
        <f>AD19+AD18</f>
        <v>#DIV/0!</v>
      </c>
    </row>
    <row r="9" spans="1:43" ht="29" thickBot="1" x14ac:dyDescent="0.7">
      <c r="G9" s="12"/>
      <c r="Y9" s="20" t="s">
        <v>44</v>
      </c>
      <c r="Z9" s="26" t="e">
        <f>100%-Z7</f>
        <v>#DIV/0!</v>
      </c>
      <c r="AB9" s="32" t="s">
        <v>21</v>
      </c>
      <c r="AC9" s="52"/>
      <c r="AD9" s="34" t="e">
        <f t="shared" si="0"/>
        <v>#DIV/0!</v>
      </c>
      <c r="AE9" s="34" t="e">
        <f t="shared" si="1"/>
        <v>#DIV/0!</v>
      </c>
    </row>
    <row r="10" spans="1:43" ht="28.5" x14ac:dyDescent="0.65">
      <c r="I10" s="40"/>
      <c r="J10" s="67"/>
      <c r="K10" s="72"/>
      <c r="L10" s="40"/>
      <c r="M10" s="40"/>
      <c r="N10" s="40"/>
      <c r="AB10" s="32" t="s">
        <v>22</v>
      </c>
      <c r="AC10" s="52"/>
      <c r="AD10" s="34" t="e">
        <f t="shared" si="0"/>
        <v>#DIV/0!</v>
      </c>
      <c r="AE10" s="34" t="e">
        <f t="shared" si="1"/>
        <v>#DIV/0!</v>
      </c>
      <c r="AH10" s="43" t="s">
        <v>37</v>
      </c>
      <c r="AI10" s="30" t="s">
        <v>38</v>
      </c>
    </row>
    <row r="11" spans="1:43" x14ac:dyDescent="0.55000000000000004">
      <c r="AB11" s="32" t="s">
        <v>23</v>
      </c>
      <c r="AC11" s="52"/>
      <c r="AD11" s="34" t="e">
        <f t="shared" si="0"/>
        <v>#DIV/0!</v>
      </c>
      <c r="AE11" s="34" t="e">
        <f t="shared" si="1"/>
        <v>#DIV/0!</v>
      </c>
      <c r="AG11" s="35" t="s">
        <v>31</v>
      </c>
      <c r="AH11" s="50">
        <f>AH5*Z$4</f>
        <v>0</v>
      </c>
      <c r="AI11" s="36" t="e">
        <f>AI5*Z$4</f>
        <v>#DIV/0!</v>
      </c>
    </row>
    <row r="12" spans="1:43" x14ac:dyDescent="0.55000000000000004">
      <c r="AB12" s="32" t="s">
        <v>24</v>
      </c>
      <c r="AC12" s="52"/>
      <c r="AD12" s="34" t="e">
        <f t="shared" si="0"/>
        <v>#DIV/0!</v>
      </c>
      <c r="AE12" s="34" t="e">
        <f t="shared" si="1"/>
        <v>#DIV/0!</v>
      </c>
      <c r="AG12" s="35" t="s">
        <v>33</v>
      </c>
      <c r="AH12" s="44">
        <f>AH6*Z$4</f>
        <v>0</v>
      </c>
      <c r="AI12" s="46" t="e">
        <f>AI6*Z$4</f>
        <v>#DIV/0!</v>
      </c>
    </row>
    <row r="13" spans="1:43" x14ac:dyDescent="0.55000000000000004">
      <c r="AB13" s="32" t="s">
        <v>25</v>
      </c>
      <c r="AC13" s="52"/>
      <c r="AD13" s="34" t="e">
        <f t="shared" si="0"/>
        <v>#DIV/0!</v>
      </c>
      <c r="AE13" s="34" t="e">
        <f t="shared" si="1"/>
        <v>#DIV/0!</v>
      </c>
      <c r="AG13" s="35" t="s">
        <v>28</v>
      </c>
      <c r="AH13" s="44">
        <f>AH7*Z$4</f>
        <v>0</v>
      </c>
      <c r="AI13" s="46" t="e">
        <f>AI7*Z$4</f>
        <v>#DIV/0!</v>
      </c>
    </row>
    <row r="14" spans="1:43" ht="24" thickBot="1" x14ac:dyDescent="0.6">
      <c r="AB14" s="32" t="s">
        <v>26</v>
      </c>
      <c r="AC14" s="52"/>
      <c r="AD14" s="34" t="e">
        <f t="shared" si="0"/>
        <v>#DIV/0!</v>
      </c>
      <c r="AE14" s="34" t="e">
        <f t="shared" si="1"/>
        <v>#DIV/0!</v>
      </c>
      <c r="AG14" s="35" t="s">
        <v>34</v>
      </c>
      <c r="AH14" s="51">
        <f>AH8*Z$4</f>
        <v>0</v>
      </c>
      <c r="AI14" s="37" t="e">
        <f>AI8*Z$4</f>
        <v>#DIV/0!</v>
      </c>
    </row>
    <row r="15" spans="1:43" ht="24" thickBot="1" x14ac:dyDescent="0.6">
      <c r="AB15" s="32" t="s">
        <v>33</v>
      </c>
      <c r="AC15" s="22"/>
      <c r="AD15" s="27" t="e">
        <f>AC15/Z$4</f>
        <v>#DIV/0!</v>
      </c>
      <c r="AE15" s="27" t="e">
        <f t="shared" si="1"/>
        <v>#DIV/0!</v>
      </c>
    </row>
    <row r="16" spans="1:43" ht="28.5" x14ac:dyDescent="0.65">
      <c r="AB16" s="32" t="s">
        <v>27</v>
      </c>
      <c r="AC16" s="52"/>
      <c r="AD16" s="34" t="e">
        <f>AC16/Z$5</f>
        <v>#DIV/0!</v>
      </c>
      <c r="AE16" s="34" t="e">
        <f t="shared" si="1"/>
        <v>#DIV/0!</v>
      </c>
      <c r="AH16" s="28" t="s">
        <v>39</v>
      </c>
      <c r="AI16" s="30" t="s">
        <v>40</v>
      </c>
    </row>
    <row r="17" spans="18:35" x14ac:dyDescent="0.55000000000000004">
      <c r="AB17" s="32" t="s">
        <v>28</v>
      </c>
      <c r="AC17" s="22"/>
      <c r="AD17" s="27" t="e">
        <f t="shared" ref="AD17" si="2">AC17/Z$4</f>
        <v>#DIV/0!</v>
      </c>
      <c r="AE17" s="27" t="e">
        <f t="shared" si="1"/>
        <v>#DIV/0!</v>
      </c>
      <c r="AG17" s="35" t="s">
        <v>31</v>
      </c>
      <c r="AH17" s="38" t="e">
        <f>AH5-AI5</f>
        <v>#DIV/0!</v>
      </c>
      <c r="AI17" s="36" t="e">
        <f>AH11-AI11</f>
        <v>#DIV/0!</v>
      </c>
    </row>
    <row r="18" spans="18:35" x14ac:dyDescent="0.55000000000000004">
      <c r="AB18" s="32" t="s">
        <v>29</v>
      </c>
      <c r="AC18" s="52"/>
      <c r="AD18" s="34" t="e">
        <f>AC18/Z$5</f>
        <v>#DIV/0!</v>
      </c>
      <c r="AE18" s="34" t="e">
        <f t="shared" si="1"/>
        <v>#DIV/0!</v>
      </c>
      <c r="AG18" s="35" t="s">
        <v>33</v>
      </c>
      <c r="AH18" s="47" t="e">
        <f>AH6-AI6</f>
        <v>#DIV/0!</v>
      </c>
      <c r="AI18" s="46" t="e">
        <f>AH12-AI12</f>
        <v>#DIV/0!</v>
      </c>
    </row>
    <row r="19" spans="18:35" ht="24" thickBot="1" x14ac:dyDescent="0.6">
      <c r="AB19" s="33" t="s">
        <v>30</v>
      </c>
      <c r="AC19" s="64"/>
      <c r="AD19" s="53" t="e">
        <f>AC19/Z$5</f>
        <v>#DIV/0!</v>
      </c>
      <c r="AE19" s="53" t="e">
        <f t="shared" si="1"/>
        <v>#DIV/0!</v>
      </c>
      <c r="AG19" s="35" t="s">
        <v>28</v>
      </c>
      <c r="AH19" s="47" t="e">
        <f>AH7-AI7</f>
        <v>#DIV/0!</v>
      </c>
      <c r="AI19" s="46" t="e">
        <f>AH13-AI13</f>
        <v>#DIV/0!</v>
      </c>
    </row>
    <row r="20" spans="18:35" ht="24" thickBot="1" x14ac:dyDescent="0.6">
      <c r="AE20" s="25"/>
      <c r="AG20" s="35" t="s">
        <v>34</v>
      </c>
      <c r="AH20" s="39" t="e">
        <f>AH8-AI8</f>
        <v>#DIV/0!</v>
      </c>
      <c r="AI20" s="37" t="e">
        <f>AH14-AI14</f>
        <v>#DIV/0!</v>
      </c>
    </row>
    <row r="29" spans="18:35" x14ac:dyDescent="0.55000000000000004">
      <c r="R29" s="23"/>
    </row>
  </sheetData>
  <sheetProtection algorithmName="SHA-512" hashValue="roIUmC4myY1KKzzC5pEsqfpz5VFvdFPIXmWdFUsWEZhcEXPsaBEBkC5rSpYiJx2aPYEZ4EB2ygtuH47qcQi4Ng==" saltValue="ghrG+JNzmyMtztQrOrKtqQ==" spinCount="100000" sheet="1" objects="1" scenarios="1"/>
  <mergeCells count="8">
    <mergeCell ref="AL1:AQ1"/>
    <mergeCell ref="Y2:AB2"/>
    <mergeCell ref="B3:C3"/>
    <mergeCell ref="B1:C1"/>
    <mergeCell ref="F1:I1"/>
    <mergeCell ref="L1:O1"/>
    <mergeCell ref="R1:V1"/>
    <mergeCell ref="Y1:AI1"/>
  </mergeCells>
  <hyperlinks>
    <hyperlink ref="Y2" r:id="rId1" xr:uid="{DF0E08B7-F56D-4C39-A3F5-ACE3A97670F5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3073" r:id="rId5" name="ExpensesBreakdown">
          <controlPr defaultSize="0" autoLine="0" r:id="rId6">
            <anchor moveWithCells="1">
              <from>
                <xdr:col>24</xdr:col>
                <xdr:colOff>120650</xdr:colOff>
                <xdr:row>9</xdr:row>
                <xdr:rowOff>298450</xdr:rowOff>
              </from>
              <to>
                <xdr:col>25</xdr:col>
                <xdr:colOff>1530350</xdr:colOff>
                <xdr:row>13</xdr:row>
                <xdr:rowOff>158750</xdr:rowOff>
              </to>
            </anchor>
          </controlPr>
        </control>
      </mc:Choice>
      <mc:Fallback>
        <control shapeId="3073" r:id="rId5" name="ExpensesBreakdow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5A87A-CCB6-44BB-8983-8EFB8E6D0F2D}">
  <sheetPr codeName="Sheet1"/>
  <dimension ref="A1"/>
  <sheetViews>
    <sheetView workbookViewId="0">
      <selection activeCell="I8" sqref="I8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ExpensesCB">
          <controlPr defaultSize="0" autoLine="0" r:id="rId4">
            <anchor moveWithCells="1">
              <from>
                <xdr:col>6</xdr:col>
                <xdr:colOff>457200</xdr:colOff>
                <xdr:row>2</xdr:row>
                <xdr:rowOff>158750</xdr:rowOff>
              </from>
              <to>
                <xdr:col>11</xdr:col>
                <xdr:colOff>450850</xdr:colOff>
                <xdr:row>6</xdr:row>
                <xdr:rowOff>152400</xdr:rowOff>
              </to>
            </anchor>
          </controlPr>
        </control>
      </mc:Choice>
      <mc:Fallback>
        <control shapeId="2051" r:id="rId3" name="ExpensesCB"/>
      </mc:Fallback>
    </mc:AlternateContent>
    <mc:AlternateContent xmlns:mc="http://schemas.openxmlformats.org/markup-compatibility/2006">
      <mc:Choice Requires="x14">
        <control shapeId="2050" r:id="rId5" name="RevenueCB">
          <controlPr defaultSize="0" autoLine="0" r:id="rId6">
            <anchor moveWithCells="1">
              <from>
                <xdr:col>1</xdr:col>
                <xdr:colOff>76200</xdr:colOff>
                <xdr:row>2</xdr:row>
                <xdr:rowOff>152400</xdr:rowOff>
              </from>
              <to>
                <xdr:col>6</xdr:col>
                <xdr:colOff>69850</xdr:colOff>
                <xdr:row>6</xdr:row>
                <xdr:rowOff>146050</xdr:rowOff>
              </to>
            </anchor>
          </controlPr>
        </control>
      </mc:Choice>
      <mc:Fallback>
        <control shapeId="2050" r:id="rId5" name="RevenueCB"/>
      </mc:Fallback>
    </mc:AlternateContent>
    <mc:AlternateContent xmlns:mc="http://schemas.openxmlformats.org/markup-compatibility/2006">
      <mc:Choice Requires="x14">
        <control shapeId="2052" r:id="rId7" name="CommandButton1">
          <controlPr defaultSize="0" autoLine="0" r:id="rId8">
            <anchor moveWithCells="1">
              <from>
                <xdr:col>4</xdr:col>
                <xdr:colOff>50800</xdr:colOff>
                <xdr:row>9</xdr:row>
                <xdr:rowOff>44450</xdr:rowOff>
              </from>
              <to>
                <xdr:col>9</xdr:col>
                <xdr:colOff>44450</xdr:colOff>
                <xdr:row>13</xdr:row>
                <xdr:rowOff>38100</xdr:rowOff>
              </to>
            </anchor>
          </controlPr>
        </control>
      </mc:Choice>
      <mc:Fallback>
        <control shapeId="2052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7DFF7-750A-464D-BB4F-210674CF192D}">
  <sheetPr codeName="Sheet4"/>
  <dimension ref="A1"/>
  <sheetViews>
    <sheetView workbookViewId="0">
      <selection activeCell="H26" sqref="H26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398F-753E-48E7-ABA3-F9D58C5B59AF}">
  <sheetPr codeName="Sheet5"/>
  <dimension ref="A1:AR91"/>
  <sheetViews>
    <sheetView tabSelected="1" topLeftCell="R4" zoomScale="70" zoomScaleNormal="70" workbookViewId="0">
      <selection activeCell="AD12" sqref="AD12"/>
    </sheetView>
  </sheetViews>
  <sheetFormatPr defaultRowHeight="23.5" x14ac:dyDescent="0.55000000000000004"/>
  <cols>
    <col min="1" max="1" width="8.90625" style="6"/>
    <col min="2" max="2" width="47.6328125" bestFit="1" customWidth="1"/>
    <col min="3" max="3" width="58.453125" customWidth="1"/>
    <col min="4" max="4" width="8.90625" style="2"/>
    <col min="5" max="5" width="8.90625" customWidth="1"/>
    <col min="6" max="6" width="37.90625" style="12" bestFit="1" customWidth="1"/>
    <col min="7" max="7" width="30.36328125" style="13" bestFit="1" customWidth="1"/>
    <col min="8" max="8" width="33.81640625" style="14" bestFit="1" customWidth="1"/>
    <col min="9" max="9" width="26.81640625" style="22" customWidth="1"/>
    <col min="10" max="10" width="8.90625" style="66"/>
    <col min="11" max="11" width="8.90625" style="71" customWidth="1"/>
    <col min="12" max="12" width="38" style="22" customWidth="1"/>
    <col min="13" max="13" width="30.36328125" style="22" customWidth="1"/>
    <col min="14" max="14" width="33.81640625" style="22" bestFit="1" customWidth="1"/>
    <col min="15" max="15" width="26.81640625" style="22" customWidth="1"/>
    <col min="16" max="16" width="8.90625" style="2"/>
    <col min="17" max="17" width="7.6328125" style="7" bestFit="1" customWidth="1"/>
    <col min="18" max="18" width="41" style="13" bestFit="1" customWidth="1"/>
    <col min="19" max="19" width="46.6328125" style="13" bestFit="1" customWidth="1"/>
    <col min="20" max="20" width="35.08984375" style="13" bestFit="1" customWidth="1"/>
    <col min="21" max="21" width="40.1796875" style="14" bestFit="1" customWidth="1"/>
    <col min="22" max="22" width="33.54296875" style="24" customWidth="1"/>
    <col min="23" max="23" width="8.90625" style="2"/>
    <col min="25" max="25" width="39.1796875" bestFit="1" customWidth="1"/>
    <col min="26" max="26" width="28.81640625" bestFit="1" customWidth="1"/>
    <col min="27" max="27" width="12.54296875" customWidth="1"/>
    <col min="28" max="28" width="40.453125" bestFit="1" customWidth="1"/>
    <col min="29" max="29" width="21.453125" style="19" customWidth="1"/>
    <col min="30" max="30" width="47.6328125" bestFit="1" customWidth="1"/>
    <col min="31" max="31" width="36.08984375" bestFit="1" customWidth="1"/>
    <col min="32" max="32" width="12" customWidth="1"/>
    <col min="33" max="33" width="37.36328125" bestFit="1" customWidth="1"/>
    <col min="34" max="34" width="41.453125" bestFit="1" customWidth="1"/>
    <col min="35" max="35" width="44.6328125" bestFit="1" customWidth="1"/>
    <col min="36" max="36" width="8.90625" style="2"/>
    <col min="37" max="37" width="8.81640625" customWidth="1"/>
    <col min="38" max="38" width="24.08984375" bestFit="1" customWidth="1"/>
    <col min="39" max="39" width="34.81640625" bestFit="1" customWidth="1"/>
    <col min="44" max="44" width="8.90625" style="2"/>
  </cols>
  <sheetData>
    <row r="1" spans="1:43" ht="29" thickBot="1" x14ac:dyDescent="0.7">
      <c r="A1" s="4"/>
      <c r="B1" s="81" t="s">
        <v>52</v>
      </c>
      <c r="C1" s="81"/>
      <c r="D1" s="5"/>
      <c r="F1" s="82" t="s">
        <v>7</v>
      </c>
      <c r="G1" s="83"/>
      <c r="H1" s="83"/>
      <c r="I1" s="84"/>
      <c r="J1" s="18"/>
      <c r="K1" s="69"/>
      <c r="L1" s="85" t="s">
        <v>57</v>
      </c>
      <c r="M1" s="85"/>
      <c r="N1" s="85"/>
      <c r="O1" s="85"/>
      <c r="R1" s="86" t="s">
        <v>2</v>
      </c>
      <c r="S1" s="86"/>
      <c r="T1" s="86"/>
      <c r="U1" s="86"/>
      <c r="V1" s="86"/>
      <c r="Y1" s="87" t="s">
        <v>9</v>
      </c>
      <c r="Z1" s="88"/>
      <c r="AA1" s="88"/>
      <c r="AB1" s="88"/>
      <c r="AC1" s="88"/>
      <c r="AD1" s="88"/>
      <c r="AE1" s="88"/>
      <c r="AF1" s="88"/>
      <c r="AG1" s="88"/>
      <c r="AH1" s="88"/>
      <c r="AI1" s="89"/>
      <c r="AJ1" s="8"/>
      <c r="AK1" s="56"/>
      <c r="AL1" s="74" t="s">
        <v>45</v>
      </c>
      <c r="AM1" s="75"/>
      <c r="AN1" s="75"/>
      <c r="AO1" s="75"/>
      <c r="AP1" s="75"/>
      <c r="AQ1" s="76"/>
    </row>
    <row r="2" spans="1:43" ht="29" thickBot="1" x14ac:dyDescent="0.7">
      <c r="B2" s="57"/>
      <c r="C2" s="57"/>
      <c r="E2" s="3"/>
      <c r="F2" s="15" t="s">
        <v>1</v>
      </c>
      <c r="G2" s="16" t="s">
        <v>3</v>
      </c>
      <c r="H2" s="17" t="s">
        <v>5</v>
      </c>
      <c r="I2" s="17" t="s">
        <v>6</v>
      </c>
      <c r="J2" s="65"/>
      <c r="K2" s="70"/>
      <c r="L2" s="10" t="s">
        <v>1</v>
      </c>
      <c r="M2" s="11" t="s">
        <v>3</v>
      </c>
      <c r="N2" s="68" t="s">
        <v>5</v>
      </c>
      <c r="O2" s="68" t="s">
        <v>6</v>
      </c>
      <c r="P2" s="8"/>
      <c r="R2" s="10" t="s">
        <v>1</v>
      </c>
      <c r="S2" s="11" t="s">
        <v>3</v>
      </c>
      <c r="T2" s="11" t="s">
        <v>4</v>
      </c>
      <c r="U2" s="11" t="s">
        <v>5</v>
      </c>
      <c r="V2" s="9" t="s">
        <v>6</v>
      </c>
      <c r="Y2" s="77" t="s">
        <v>20</v>
      </c>
      <c r="Z2" s="78"/>
      <c r="AA2" s="78"/>
      <c r="AB2" s="78"/>
    </row>
    <row r="3" spans="1:43" ht="24" customHeight="1" thickBot="1" x14ac:dyDescent="0.65">
      <c r="B3" s="79" t="s">
        <v>46</v>
      </c>
      <c r="C3" s="80"/>
      <c r="F3" s="12" t="s">
        <v>60</v>
      </c>
      <c r="G3" s="13" t="s">
        <v>54</v>
      </c>
      <c r="H3" s="14" t="s">
        <v>0</v>
      </c>
      <c r="I3" s="40">
        <v>971.91</v>
      </c>
      <c r="L3" s="12" t="s">
        <v>60</v>
      </c>
      <c r="M3" s="13" t="s">
        <v>55</v>
      </c>
      <c r="N3" s="14" t="s">
        <v>0</v>
      </c>
      <c r="O3" s="22">
        <v>56.03</v>
      </c>
      <c r="R3" s="23" t="s">
        <v>60</v>
      </c>
      <c r="S3" s="13" t="s">
        <v>41</v>
      </c>
      <c r="T3" s="13" t="s">
        <v>32</v>
      </c>
      <c r="U3" s="14" t="s">
        <v>0</v>
      </c>
      <c r="V3" s="24">
        <v>49.89</v>
      </c>
    </row>
    <row r="4" spans="1:43" ht="28.5" x14ac:dyDescent="0.65">
      <c r="B4" s="58" t="s">
        <v>47</v>
      </c>
      <c r="C4" s="59" t="s">
        <v>50</v>
      </c>
      <c r="E4" s="1"/>
      <c r="F4" s="12" t="s">
        <v>75</v>
      </c>
      <c r="G4" s="13" t="s">
        <v>54</v>
      </c>
      <c r="H4" s="14" t="s">
        <v>0</v>
      </c>
      <c r="I4" s="40">
        <v>989.78</v>
      </c>
      <c r="L4" s="12" t="s">
        <v>128</v>
      </c>
      <c r="M4" s="13" t="s">
        <v>129</v>
      </c>
      <c r="N4" s="14" t="s">
        <v>0</v>
      </c>
      <c r="O4" s="22">
        <v>32</v>
      </c>
      <c r="R4" s="23" t="s">
        <v>60</v>
      </c>
      <c r="S4" s="13" t="s">
        <v>13</v>
      </c>
      <c r="T4" s="13" t="s">
        <v>13</v>
      </c>
      <c r="U4" s="14" t="s">
        <v>0</v>
      </c>
      <c r="V4" s="24">
        <v>400</v>
      </c>
      <c r="Y4" s="20" t="s">
        <v>10</v>
      </c>
      <c r="Z4" s="21">
        <f>SUM(I3:I1048576)</f>
        <v>5001.99</v>
      </c>
      <c r="AB4" s="28" t="s">
        <v>19</v>
      </c>
      <c r="AC4" s="29" t="s">
        <v>8</v>
      </c>
      <c r="AD4" s="29" t="s">
        <v>59</v>
      </c>
      <c r="AE4" s="29" t="s">
        <v>18</v>
      </c>
      <c r="AG4" s="18"/>
      <c r="AH4" s="28" t="s">
        <v>35</v>
      </c>
      <c r="AI4" s="30" t="s">
        <v>36</v>
      </c>
    </row>
    <row r="5" spans="1:43" ht="28.5" x14ac:dyDescent="0.65">
      <c r="B5" s="60" t="s">
        <v>48</v>
      </c>
      <c r="C5" s="61" t="s">
        <v>51</v>
      </c>
      <c r="F5" s="12" t="s">
        <v>83</v>
      </c>
      <c r="G5" s="13" t="s">
        <v>54</v>
      </c>
      <c r="H5" s="14" t="s">
        <v>0</v>
      </c>
      <c r="I5" s="40">
        <v>991.5</v>
      </c>
      <c r="L5" s="12"/>
      <c r="M5" s="12"/>
      <c r="N5" s="14"/>
      <c r="R5" s="13" t="s">
        <v>60</v>
      </c>
      <c r="S5" s="13" t="s">
        <v>62</v>
      </c>
      <c r="T5" s="13" t="s">
        <v>12</v>
      </c>
      <c r="U5" s="14" t="s">
        <v>0</v>
      </c>
      <c r="V5" s="24">
        <v>3.42</v>
      </c>
      <c r="Y5" s="20" t="s">
        <v>58</v>
      </c>
      <c r="Z5" s="21">
        <f>SUM(Z4)+SUM(O3:O1048576)</f>
        <v>5090.0199999999995</v>
      </c>
      <c r="AB5" s="32" t="s">
        <v>14</v>
      </c>
      <c r="AC5" s="52"/>
      <c r="AD5" s="34">
        <f t="shared" ref="AD5:AD14" si="0">AC5/Z$5</f>
        <v>0</v>
      </c>
      <c r="AE5" s="34">
        <f t="shared" ref="AE5:AE19" si="1">AC5/Z$6</f>
        <v>0</v>
      </c>
      <c r="AG5" s="35" t="s">
        <v>31</v>
      </c>
      <c r="AH5" s="48">
        <v>0.6</v>
      </c>
      <c r="AI5" s="31">
        <f>SUM(AD5:AD14,AD16)</f>
        <v>0.24359039846601788</v>
      </c>
    </row>
    <row r="6" spans="1:43" ht="29" thickBot="1" x14ac:dyDescent="0.7">
      <c r="B6" s="62" t="s">
        <v>86</v>
      </c>
      <c r="C6" s="63" t="s">
        <v>49</v>
      </c>
      <c r="F6" s="12" t="s">
        <v>126</v>
      </c>
      <c r="G6" s="13" t="s">
        <v>54</v>
      </c>
      <c r="H6" s="14" t="s">
        <v>0</v>
      </c>
      <c r="I6" s="40">
        <v>1065.5</v>
      </c>
      <c r="L6" s="12"/>
      <c r="M6" s="13"/>
      <c r="N6" s="14"/>
      <c r="R6" s="13" t="s">
        <v>60</v>
      </c>
      <c r="S6" s="13" t="s">
        <v>63</v>
      </c>
      <c r="T6" s="13" t="s">
        <v>32</v>
      </c>
      <c r="U6" s="14" t="s">
        <v>0</v>
      </c>
      <c r="V6" s="24">
        <v>106.91</v>
      </c>
      <c r="Y6" s="20" t="s">
        <v>11</v>
      </c>
      <c r="Z6" s="21">
        <f>SUM(V3:V1048576)</f>
        <v>4996.01</v>
      </c>
      <c r="AB6" s="32" t="s">
        <v>15</v>
      </c>
      <c r="AC6" s="52">
        <v>329.35</v>
      </c>
      <c r="AD6" s="34">
        <f t="shared" si="0"/>
        <v>6.4705050274851586E-2</v>
      </c>
      <c r="AE6" s="34">
        <f t="shared" si="1"/>
        <v>6.5922606239779344E-2</v>
      </c>
      <c r="AG6" s="35" t="s">
        <v>33</v>
      </c>
      <c r="AH6" s="41">
        <v>0.2</v>
      </c>
      <c r="AI6" s="45">
        <f>AD15</f>
        <v>0.20140584047549076</v>
      </c>
      <c r="AJ6" s="55"/>
    </row>
    <row r="7" spans="1:43" ht="28.5" x14ac:dyDescent="0.65">
      <c r="F7" s="12" t="s">
        <v>144</v>
      </c>
      <c r="G7" s="13" t="s">
        <v>54</v>
      </c>
      <c r="H7" s="14" t="s">
        <v>0</v>
      </c>
      <c r="I7" s="22">
        <v>983.3</v>
      </c>
      <c r="R7" s="13" t="s">
        <v>60</v>
      </c>
      <c r="S7" s="13" t="s">
        <v>61</v>
      </c>
      <c r="T7" s="13" t="s">
        <v>12</v>
      </c>
      <c r="U7" s="14" t="s">
        <v>88</v>
      </c>
      <c r="V7" s="24">
        <v>82.56</v>
      </c>
      <c r="Y7" s="20" t="s">
        <v>42</v>
      </c>
      <c r="Z7" s="26">
        <f>Z6/Z5</f>
        <v>0.98153052443801803</v>
      </c>
      <c r="AB7" s="32" t="s">
        <v>16</v>
      </c>
      <c r="AC7" s="52">
        <v>800.85</v>
      </c>
      <c r="AD7" s="34">
        <f t="shared" si="0"/>
        <v>0.15733729926405007</v>
      </c>
      <c r="AE7" s="34">
        <f t="shared" si="1"/>
        <v>0.16029791773835519</v>
      </c>
      <c r="AG7" s="35" t="s">
        <v>28</v>
      </c>
      <c r="AH7" s="41">
        <v>0.1</v>
      </c>
      <c r="AI7" s="45">
        <f>AD17</f>
        <v>0.43982494967003133</v>
      </c>
    </row>
    <row r="8" spans="1:43" ht="29" thickBot="1" x14ac:dyDescent="0.7">
      <c r="J8" s="67"/>
      <c r="K8" s="72"/>
      <c r="L8" s="40"/>
      <c r="M8" s="40"/>
      <c r="N8" s="40"/>
      <c r="R8" s="13" t="s">
        <v>60</v>
      </c>
      <c r="S8" s="13" t="s">
        <v>64</v>
      </c>
      <c r="T8" s="13" t="s">
        <v>65</v>
      </c>
      <c r="U8" s="14" t="s">
        <v>87</v>
      </c>
      <c r="V8" s="24">
        <v>10.47</v>
      </c>
      <c r="Y8" s="20" t="s">
        <v>43</v>
      </c>
      <c r="Z8" s="54">
        <f>Z5-Z6</f>
        <v>94.009999999999309</v>
      </c>
      <c r="AB8" s="32" t="s">
        <v>17</v>
      </c>
      <c r="AC8" s="52"/>
      <c r="AD8" s="34">
        <f t="shared" si="0"/>
        <v>0</v>
      </c>
      <c r="AE8" s="34">
        <f t="shared" si="1"/>
        <v>0</v>
      </c>
      <c r="AG8" s="35" t="s">
        <v>34</v>
      </c>
      <c r="AH8" s="49">
        <v>0.1</v>
      </c>
      <c r="AI8" s="42">
        <f>AD19+AD18</f>
        <v>0.10779918350026131</v>
      </c>
    </row>
    <row r="9" spans="1:43" ht="29" thickBot="1" x14ac:dyDescent="0.7">
      <c r="G9" s="12"/>
      <c r="R9" s="13" t="s">
        <v>66</v>
      </c>
      <c r="S9" s="13" t="s">
        <v>13</v>
      </c>
      <c r="T9" s="13" t="s">
        <v>13</v>
      </c>
      <c r="U9" s="14" t="s">
        <v>0</v>
      </c>
      <c r="V9" s="24">
        <v>200</v>
      </c>
      <c r="Y9" s="20" t="s">
        <v>44</v>
      </c>
      <c r="Z9" s="26">
        <f>100%-Z7</f>
        <v>1.8469475561981974E-2</v>
      </c>
      <c r="AB9" s="32" t="s">
        <v>21</v>
      </c>
      <c r="AC9" s="52"/>
      <c r="AD9" s="34">
        <f t="shared" si="0"/>
        <v>0</v>
      </c>
      <c r="AE9" s="34">
        <f t="shared" si="1"/>
        <v>0</v>
      </c>
    </row>
    <row r="10" spans="1:43" ht="28.5" x14ac:dyDescent="0.65">
      <c r="I10" s="40"/>
      <c r="J10" s="67"/>
      <c r="K10" s="72"/>
      <c r="L10" s="40"/>
      <c r="M10" s="40"/>
      <c r="N10" s="40"/>
      <c r="R10" s="13" t="s">
        <v>67</v>
      </c>
      <c r="S10" s="13" t="s">
        <v>68</v>
      </c>
      <c r="T10" s="13" t="s">
        <v>12</v>
      </c>
      <c r="U10" s="14" t="s">
        <v>87</v>
      </c>
      <c r="V10" s="24">
        <v>10.25</v>
      </c>
      <c r="AB10" s="32" t="s">
        <v>22</v>
      </c>
      <c r="AC10" s="52">
        <v>13.36</v>
      </c>
      <c r="AD10" s="34">
        <f t="shared" si="0"/>
        <v>2.6247441070958465E-3</v>
      </c>
      <c r="AE10" s="34">
        <f t="shared" si="1"/>
        <v>2.6741339588992013E-3</v>
      </c>
      <c r="AH10" s="43" t="s">
        <v>37</v>
      </c>
      <c r="AI10" s="30" t="s">
        <v>38</v>
      </c>
    </row>
    <row r="11" spans="1:43" x14ac:dyDescent="0.55000000000000004">
      <c r="R11" s="13" t="s">
        <v>66</v>
      </c>
      <c r="S11" s="13" t="s">
        <v>69</v>
      </c>
      <c r="T11" s="13" t="s">
        <v>12</v>
      </c>
      <c r="U11" s="14" t="s">
        <v>87</v>
      </c>
      <c r="V11" s="24">
        <v>17.350000000000001</v>
      </c>
      <c r="AB11" s="32" t="s">
        <v>23</v>
      </c>
      <c r="AC11" s="52"/>
      <c r="AD11" s="34">
        <f t="shared" si="0"/>
        <v>0</v>
      </c>
      <c r="AE11" s="34">
        <f t="shared" si="1"/>
        <v>0</v>
      </c>
      <c r="AG11" s="35" t="s">
        <v>31</v>
      </c>
      <c r="AH11" s="50">
        <f>AH5*Z$4</f>
        <v>3001.194</v>
      </c>
      <c r="AI11" s="36">
        <f>AI5*Z$4</f>
        <v>1218.4367372230367</v>
      </c>
    </row>
    <row r="12" spans="1:43" x14ac:dyDescent="0.55000000000000004">
      <c r="R12" s="13" t="s">
        <v>70</v>
      </c>
      <c r="S12" s="13" t="s">
        <v>71</v>
      </c>
      <c r="T12" s="13" t="s">
        <v>32</v>
      </c>
      <c r="U12" s="14" t="s">
        <v>0</v>
      </c>
      <c r="V12" s="24">
        <v>48</v>
      </c>
      <c r="AB12" s="32" t="s">
        <v>24</v>
      </c>
      <c r="AC12" s="52"/>
      <c r="AD12" s="34">
        <f t="shared" si="0"/>
        <v>0</v>
      </c>
      <c r="AE12" s="34">
        <f t="shared" si="1"/>
        <v>0</v>
      </c>
      <c r="AG12" s="35" t="s">
        <v>33</v>
      </c>
      <c r="AH12" s="44">
        <f>AH6*Z$4</f>
        <v>1000.398</v>
      </c>
      <c r="AI12" s="46">
        <f>AI6*Z$4</f>
        <v>1007.43</v>
      </c>
    </row>
    <row r="13" spans="1:43" x14ac:dyDescent="0.55000000000000004">
      <c r="R13" s="13" t="s">
        <v>74</v>
      </c>
      <c r="S13" s="13" t="s">
        <v>72</v>
      </c>
      <c r="T13" s="13" t="s">
        <v>73</v>
      </c>
      <c r="U13" s="14" t="s">
        <v>0</v>
      </c>
      <c r="V13" s="24">
        <v>60</v>
      </c>
      <c r="AB13" s="32" t="s">
        <v>25</v>
      </c>
      <c r="AC13" s="52">
        <v>96.32</v>
      </c>
      <c r="AD13" s="34">
        <f t="shared" si="0"/>
        <v>1.8923304820020356E-2</v>
      </c>
      <c r="AE13" s="34">
        <f t="shared" si="1"/>
        <v>1.9279384949189449E-2</v>
      </c>
      <c r="AG13" s="35" t="s">
        <v>28</v>
      </c>
      <c r="AH13" s="44">
        <f>AH7*Z$4</f>
        <v>500.19900000000001</v>
      </c>
      <c r="AI13" s="46">
        <f>AI7*Z$4</f>
        <v>2200</v>
      </c>
    </row>
    <row r="14" spans="1:43" ht="24" thickBot="1" x14ac:dyDescent="0.6">
      <c r="R14" s="13" t="s">
        <v>75</v>
      </c>
      <c r="S14" s="13" t="s">
        <v>76</v>
      </c>
      <c r="T14" s="13" t="s">
        <v>32</v>
      </c>
      <c r="U14" s="14" t="s">
        <v>0</v>
      </c>
      <c r="V14" s="24">
        <v>51.07</v>
      </c>
      <c r="AB14" s="32" t="s">
        <v>26</v>
      </c>
      <c r="AC14" s="52"/>
      <c r="AD14" s="34">
        <f t="shared" si="0"/>
        <v>0</v>
      </c>
      <c r="AE14" s="34">
        <f t="shared" si="1"/>
        <v>0</v>
      </c>
      <c r="AG14" s="35" t="s">
        <v>34</v>
      </c>
      <c r="AH14" s="51">
        <f>AH8*Z$4</f>
        <v>500.19900000000001</v>
      </c>
      <c r="AI14" s="37">
        <f>AI8*Z$4</f>
        <v>539.21043787647204</v>
      </c>
    </row>
    <row r="15" spans="1:43" ht="24" thickBot="1" x14ac:dyDescent="0.6">
      <c r="R15" s="13" t="s">
        <v>75</v>
      </c>
      <c r="S15" s="13" t="s">
        <v>13</v>
      </c>
      <c r="T15" s="13" t="s">
        <v>13</v>
      </c>
      <c r="U15" s="14" t="s">
        <v>0</v>
      </c>
      <c r="V15" s="24">
        <v>400</v>
      </c>
      <c r="AB15" s="32" t="s">
        <v>33</v>
      </c>
      <c r="AC15" s="22">
        <v>1007.43</v>
      </c>
      <c r="AD15" s="27">
        <f>AC15/Z$4</f>
        <v>0.20140584047549076</v>
      </c>
      <c r="AE15" s="27">
        <f t="shared" si="1"/>
        <v>0.20164691423756156</v>
      </c>
    </row>
    <row r="16" spans="1:43" ht="28.5" x14ac:dyDescent="0.65">
      <c r="R16" s="13" t="s">
        <v>77</v>
      </c>
      <c r="S16" s="13" t="s">
        <v>78</v>
      </c>
      <c r="T16" s="13" t="s">
        <v>65</v>
      </c>
      <c r="U16" s="14" t="s">
        <v>0</v>
      </c>
      <c r="V16" s="24">
        <v>20.25</v>
      </c>
      <c r="AB16" s="32" t="s">
        <v>27</v>
      </c>
      <c r="AC16" s="52"/>
      <c r="AD16" s="34">
        <f>AC16/Z$5</f>
        <v>0</v>
      </c>
      <c r="AE16" s="34">
        <f t="shared" si="1"/>
        <v>0</v>
      </c>
      <c r="AH16" s="28" t="s">
        <v>39</v>
      </c>
      <c r="AI16" s="30" t="s">
        <v>40</v>
      </c>
    </row>
    <row r="17" spans="18:35" x14ac:dyDescent="0.55000000000000004">
      <c r="R17" s="13" t="s">
        <v>75</v>
      </c>
      <c r="S17" s="13" t="s">
        <v>63</v>
      </c>
      <c r="T17" s="13" t="s">
        <v>32</v>
      </c>
      <c r="U17" s="14" t="s">
        <v>0</v>
      </c>
      <c r="V17" s="24">
        <v>108.88</v>
      </c>
      <c r="AB17" s="32" t="s">
        <v>28</v>
      </c>
      <c r="AC17" s="22">
        <v>2200</v>
      </c>
      <c r="AD17" s="27">
        <f t="shared" ref="AD17" si="2">AC17/Z$4</f>
        <v>0.43982494967003133</v>
      </c>
      <c r="AE17" s="27">
        <f t="shared" si="1"/>
        <v>0.44035140041753318</v>
      </c>
      <c r="AG17" s="35" t="s">
        <v>31</v>
      </c>
      <c r="AH17" s="38">
        <f>AH5-AI5</f>
        <v>0.3564096015339821</v>
      </c>
      <c r="AI17" s="36">
        <f>AH11-AI11</f>
        <v>1782.7572627769632</v>
      </c>
    </row>
    <row r="18" spans="18:35" x14ac:dyDescent="0.55000000000000004">
      <c r="R18" s="13" t="s">
        <v>75</v>
      </c>
      <c r="S18" s="13" t="s">
        <v>79</v>
      </c>
      <c r="T18" s="13" t="s">
        <v>32</v>
      </c>
      <c r="U18" s="14" t="s">
        <v>0</v>
      </c>
      <c r="V18" s="24">
        <v>49.49</v>
      </c>
      <c r="AB18" s="32" t="s">
        <v>29</v>
      </c>
      <c r="AC18" s="52">
        <v>71.98</v>
      </c>
      <c r="AD18" s="34">
        <f>AC18/Z$5</f>
        <v>1.4141398265625677E-2</v>
      </c>
      <c r="AE18" s="34">
        <f t="shared" si="1"/>
        <v>1.4407497182751836E-2</v>
      </c>
      <c r="AG18" s="35" t="s">
        <v>33</v>
      </c>
      <c r="AH18" s="47">
        <f>AH6-AI6</f>
        <v>-1.4058404754907494E-3</v>
      </c>
      <c r="AI18" s="46">
        <f>AH12-AI12</f>
        <v>-7.0319999999999254</v>
      </c>
    </row>
    <row r="19" spans="18:35" ht="24" thickBot="1" x14ac:dyDescent="0.6">
      <c r="R19" s="13" t="s">
        <v>80</v>
      </c>
      <c r="S19" s="13" t="s">
        <v>81</v>
      </c>
      <c r="T19" s="13" t="s">
        <v>82</v>
      </c>
      <c r="U19" s="14" t="s">
        <v>87</v>
      </c>
      <c r="V19" s="24">
        <v>102.75</v>
      </c>
      <c r="AB19" s="33" t="s">
        <v>30</v>
      </c>
      <c r="AC19" s="64">
        <v>476.72</v>
      </c>
      <c r="AD19" s="53">
        <f>AC19/Z$5</f>
        <v>9.3657785234635638E-2</v>
      </c>
      <c r="AE19" s="53">
        <f t="shared" si="1"/>
        <v>9.5420145275930193E-2</v>
      </c>
      <c r="AG19" s="35" t="s">
        <v>28</v>
      </c>
      <c r="AH19" s="47">
        <f>AH7-AI7</f>
        <v>-0.3398249496700313</v>
      </c>
      <c r="AI19" s="46">
        <f>AH13-AI13</f>
        <v>-1699.8009999999999</v>
      </c>
    </row>
    <row r="20" spans="18:35" ht="24" thickBot="1" x14ac:dyDescent="0.6">
      <c r="R20" s="13" t="s">
        <v>80</v>
      </c>
      <c r="S20" s="13" t="s">
        <v>84</v>
      </c>
      <c r="T20" s="13" t="s">
        <v>85</v>
      </c>
      <c r="U20" s="14" t="s">
        <v>87</v>
      </c>
      <c r="V20" s="24">
        <v>8</v>
      </c>
      <c r="AE20" s="25"/>
      <c r="AG20" s="35" t="s">
        <v>34</v>
      </c>
      <c r="AH20" s="39">
        <f>AH8-AI8</f>
        <v>-7.7991835002613058E-3</v>
      </c>
      <c r="AI20" s="37">
        <f>AH14-AI14</f>
        <v>-39.01143787647203</v>
      </c>
    </row>
    <row r="21" spans="18:35" x14ac:dyDescent="0.55000000000000004">
      <c r="R21" s="13" t="s">
        <v>80</v>
      </c>
      <c r="S21" s="13" t="s">
        <v>89</v>
      </c>
      <c r="T21" s="13" t="s">
        <v>85</v>
      </c>
      <c r="U21" s="14" t="s">
        <v>87</v>
      </c>
      <c r="V21" s="24">
        <v>51.9</v>
      </c>
    </row>
    <row r="22" spans="18:35" x14ac:dyDescent="0.55000000000000004">
      <c r="R22" s="13" t="s">
        <v>80</v>
      </c>
      <c r="S22" s="13" t="s">
        <v>89</v>
      </c>
      <c r="T22" s="13" t="s">
        <v>90</v>
      </c>
      <c r="U22" s="14" t="s">
        <v>87</v>
      </c>
      <c r="V22" s="24">
        <v>4.37</v>
      </c>
    </row>
    <row r="23" spans="18:35" x14ac:dyDescent="0.55000000000000004">
      <c r="R23" s="13" t="s">
        <v>80</v>
      </c>
      <c r="S23" s="13" t="s">
        <v>91</v>
      </c>
      <c r="T23" s="13" t="s">
        <v>12</v>
      </c>
      <c r="U23" s="14" t="s">
        <v>87</v>
      </c>
      <c r="V23" s="24">
        <v>7</v>
      </c>
    </row>
    <row r="24" spans="18:35" x14ac:dyDescent="0.55000000000000004">
      <c r="R24" s="13" t="s">
        <v>80</v>
      </c>
      <c r="S24" s="13" t="s">
        <v>92</v>
      </c>
      <c r="T24" s="13" t="s">
        <v>12</v>
      </c>
      <c r="U24" s="14" t="s">
        <v>87</v>
      </c>
      <c r="V24" s="24">
        <v>18.239999999999998</v>
      </c>
    </row>
    <row r="25" spans="18:35" x14ac:dyDescent="0.55000000000000004">
      <c r="R25" s="13" t="s">
        <v>80</v>
      </c>
      <c r="S25" s="13" t="s">
        <v>93</v>
      </c>
      <c r="T25" s="13" t="s">
        <v>12</v>
      </c>
      <c r="U25" s="14" t="s">
        <v>87</v>
      </c>
      <c r="V25" s="24">
        <v>7.5</v>
      </c>
    </row>
    <row r="26" spans="18:35" x14ac:dyDescent="0.55000000000000004">
      <c r="R26" s="13" t="s">
        <v>94</v>
      </c>
      <c r="S26" s="13" t="s">
        <v>95</v>
      </c>
      <c r="T26" s="13" t="s">
        <v>82</v>
      </c>
      <c r="U26" s="14" t="s">
        <v>87</v>
      </c>
      <c r="V26" s="24">
        <v>22.95</v>
      </c>
    </row>
    <row r="27" spans="18:35" x14ac:dyDescent="0.55000000000000004">
      <c r="R27" s="13" t="s">
        <v>94</v>
      </c>
      <c r="S27" s="13" t="s">
        <v>96</v>
      </c>
      <c r="T27" s="13" t="s">
        <v>12</v>
      </c>
      <c r="U27" s="14" t="s">
        <v>87</v>
      </c>
      <c r="V27" s="24">
        <v>21.73</v>
      </c>
    </row>
    <row r="28" spans="18:35" x14ac:dyDescent="0.55000000000000004">
      <c r="R28" s="13" t="s">
        <v>94</v>
      </c>
      <c r="S28" s="13" t="s">
        <v>97</v>
      </c>
      <c r="T28" s="13" t="s">
        <v>12</v>
      </c>
      <c r="U28" s="14" t="s">
        <v>87</v>
      </c>
      <c r="V28" s="24">
        <v>14.79</v>
      </c>
    </row>
    <row r="29" spans="18:35" x14ac:dyDescent="0.55000000000000004">
      <c r="R29" s="23" t="s">
        <v>98</v>
      </c>
      <c r="S29" s="13" t="s">
        <v>99</v>
      </c>
      <c r="T29" s="13" t="s">
        <v>12</v>
      </c>
      <c r="U29" s="14" t="s">
        <v>87</v>
      </c>
      <c r="V29" s="24">
        <v>9.2200000000000006</v>
      </c>
    </row>
    <row r="30" spans="18:35" x14ac:dyDescent="0.55000000000000004">
      <c r="R30" s="23" t="s">
        <v>98</v>
      </c>
      <c r="S30" s="13" t="s">
        <v>99</v>
      </c>
      <c r="T30" s="13" t="s">
        <v>12</v>
      </c>
      <c r="U30" s="14" t="s">
        <v>87</v>
      </c>
      <c r="V30" s="24">
        <v>11.83</v>
      </c>
    </row>
    <row r="31" spans="18:35" x14ac:dyDescent="0.55000000000000004">
      <c r="R31" s="23" t="s">
        <v>98</v>
      </c>
      <c r="S31" s="13" t="s">
        <v>100</v>
      </c>
      <c r="T31" s="13" t="s">
        <v>12</v>
      </c>
      <c r="U31" s="14" t="s">
        <v>87</v>
      </c>
      <c r="V31" s="24">
        <v>24.66</v>
      </c>
    </row>
    <row r="32" spans="18:35" x14ac:dyDescent="0.55000000000000004">
      <c r="R32" s="23" t="s">
        <v>98</v>
      </c>
      <c r="S32" s="13" t="s">
        <v>99</v>
      </c>
      <c r="T32" s="13" t="s">
        <v>73</v>
      </c>
      <c r="U32" s="14" t="s">
        <v>87</v>
      </c>
      <c r="V32" s="24">
        <v>6.99</v>
      </c>
    </row>
    <row r="33" spans="18:22" x14ac:dyDescent="0.55000000000000004">
      <c r="R33" s="13" t="s">
        <v>101</v>
      </c>
      <c r="S33" s="13" t="s">
        <v>102</v>
      </c>
      <c r="T33" s="13" t="s">
        <v>82</v>
      </c>
      <c r="U33" s="14" t="s">
        <v>87</v>
      </c>
      <c r="V33" s="24">
        <v>10.59</v>
      </c>
    </row>
    <row r="34" spans="18:22" x14ac:dyDescent="0.55000000000000004">
      <c r="R34" s="13" t="s">
        <v>101</v>
      </c>
      <c r="S34" s="13" t="s">
        <v>103</v>
      </c>
      <c r="T34" s="13" t="s">
        <v>82</v>
      </c>
      <c r="U34" s="14" t="s">
        <v>87</v>
      </c>
      <c r="V34" s="24">
        <v>154</v>
      </c>
    </row>
    <row r="35" spans="18:22" x14ac:dyDescent="0.55000000000000004">
      <c r="R35" s="13" t="s">
        <v>83</v>
      </c>
      <c r="S35" s="13" t="s">
        <v>104</v>
      </c>
      <c r="T35" s="13" t="s">
        <v>85</v>
      </c>
      <c r="U35" s="14" t="s">
        <v>87</v>
      </c>
      <c r="V35" s="24">
        <v>49.93</v>
      </c>
    </row>
    <row r="36" spans="18:22" x14ac:dyDescent="0.55000000000000004">
      <c r="R36" s="13" t="s">
        <v>105</v>
      </c>
      <c r="S36" s="13" t="s">
        <v>106</v>
      </c>
      <c r="T36" s="13" t="s">
        <v>12</v>
      </c>
      <c r="U36" s="14" t="s">
        <v>87</v>
      </c>
      <c r="V36" s="24">
        <v>10.94</v>
      </c>
    </row>
    <row r="37" spans="18:22" x14ac:dyDescent="0.55000000000000004">
      <c r="R37" s="13" t="s">
        <v>105</v>
      </c>
      <c r="S37" s="13" t="s">
        <v>107</v>
      </c>
      <c r="T37" s="13" t="s">
        <v>12</v>
      </c>
      <c r="U37" s="14" t="s">
        <v>87</v>
      </c>
      <c r="V37" s="24">
        <v>13.78</v>
      </c>
    </row>
    <row r="38" spans="18:22" x14ac:dyDescent="0.55000000000000004">
      <c r="R38" s="13" t="s">
        <v>105</v>
      </c>
      <c r="S38" s="13" t="s">
        <v>108</v>
      </c>
      <c r="T38" s="13" t="s">
        <v>85</v>
      </c>
      <c r="U38" s="14" t="s">
        <v>87</v>
      </c>
      <c r="V38" s="24">
        <v>35</v>
      </c>
    </row>
    <row r="39" spans="18:22" x14ac:dyDescent="0.55000000000000004">
      <c r="R39" s="13" t="s">
        <v>105</v>
      </c>
      <c r="S39" s="13" t="s">
        <v>109</v>
      </c>
      <c r="T39" s="13" t="s">
        <v>12</v>
      </c>
      <c r="U39" s="14" t="s">
        <v>87</v>
      </c>
      <c r="V39" s="24">
        <v>19.71</v>
      </c>
    </row>
    <row r="40" spans="18:22" x14ac:dyDescent="0.55000000000000004">
      <c r="R40" s="13" t="s">
        <v>105</v>
      </c>
      <c r="S40" s="13" t="s">
        <v>110</v>
      </c>
      <c r="T40" s="13" t="s">
        <v>12</v>
      </c>
      <c r="U40" s="14" t="s">
        <v>87</v>
      </c>
      <c r="V40" s="24">
        <v>54.71</v>
      </c>
    </row>
    <row r="41" spans="18:22" x14ac:dyDescent="0.55000000000000004">
      <c r="R41" s="13" t="s">
        <v>105</v>
      </c>
      <c r="S41" s="13" t="s">
        <v>107</v>
      </c>
      <c r="T41" s="13" t="s">
        <v>12</v>
      </c>
      <c r="U41" s="14" t="s">
        <v>87</v>
      </c>
      <c r="V41" s="24">
        <v>5.95</v>
      </c>
    </row>
    <row r="42" spans="18:22" x14ac:dyDescent="0.55000000000000004">
      <c r="R42" s="13" t="s">
        <v>111</v>
      </c>
      <c r="S42" s="13" t="s">
        <v>112</v>
      </c>
      <c r="T42" s="13" t="s">
        <v>12</v>
      </c>
      <c r="U42" s="14" t="s">
        <v>87</v>
      </c>
      <c r="V42" s="24">
        <v>16.940000000000001</v>
      </c>
    </row>
    <row r="43" spans="18:22" x14ac:dyDescent="0.55000000000000004">
      <c r="R43" s="13" t="s">
        <v>111</v>
      </c>
      <c r="S43" s="13" t="s">
        <v>113</v>
      </c>
      <c r="T43" s="13" t="s">
        <v>12</v>
      </c>
      <c r="U43" s="14" t="s">
        <v>87</v>
      </c>
      <c r="V43" s="24">
        <v>14.13</v>
      </c>
    </row>
    <row r="44" spans="18:22" x14ac:dyDescent="0.55000000000000004">
      <c r="R44" s="13" t="s">
        <v>114</v>
      </c>
      <c r="S44" s="13" t="s">
        <v>115</v>
      </c>
      <c r="T44" s="13" t="s">
        <v>12</v>
      </c>
      <c r="U44" s="14" t="s">
        <v>87</v>
      </c>
      <c r="V44" s="24">
        <v>14.46</v>
      </c>
    </row>
    <row r="45" spans="18:22" x14ac:dyDescent="0.55000000000000004">
      <c r="R45" s="13" t="s">
        <v>114</v>
      </c>
      <c r="S45" s="13" t="s">
        <v>116</v>
      </c>
      <c r="T45" s="13" t="s">
        <v>12</v>
      </c>
      <c r="U45" s="14" t="s">
        <v>87</v>
      </c>
      <c r="V45" s="24">
        <v>3.96</v>
      </c>
    </row>
    <row r="46" spans="18:22" x14ac:dyDescent="0.55000000000000004">
      <c r="R46" s="13" t="s">
        <v>117</v>
      </c>
      <c r="S46" s="13" t="s">
        <v>116</v>
      </c>
      <c r="T46" s="13" t="s">
        <v>12</v>
      </c>
      <c r="U46" s="14" t="s">
        <v>87</v>
      </c>
      <c r="V46" s="24">
        <v>65.989999999999995</v>
      </c>
    </row>
    <row r="47" spans="18:22" x14ac:dyDescent="0.55000000000000004">
      <c r="R47" s="23" t="s">
        <v>98</v>
      </c>
      <c r="S47" s="13" t="s">
        <v>119</v>
      </c>
      <c r="T47" s="13" t="s">
        <v>73</v>
      </c>
      <c r="U47" s="14" t="s">
        <v>0</v>
      </c>
      <c r="V47" s="24">
        <v>29.33</v>
      </c>
    </row>
    <row r="48" spans="18:22" x14ac:dyDescent="0.55000000000000004">
      <c r="R48" s="23" t="s">
        <v>98</v>
      </c>
      <c r="S48" s="13" t="s">
        <v>115</v>
      </c>
      <c r="T48" s="13" t="s">
        <v>12</v>
      </c>
      <c r="U48" s="14" t="s">
        <v>0</v>
      </c>
      <c r="V48" s="24">
        <v>3.42</v>
      </c>
    </row>
    <row r="49" spans="18:25" x14ac:dyDescent="0.55000000000000004">
      <c r="R49" s="23" t="s">
        <v>98</v>
      </c>
      <c r="S49" s="13" t="s">
        <v>120</v>
      </c>
      <c r="T49" s="13" t="s">
        <v>85</v>
      </c>
      <c r="U49" s="14" t="s">
        <v>0</v>
      </c>
      <c r="V49" s="24">
        <v>15</v>
      </c>
    </row>
    <row r="50" spans="18:25" x14ac:dyDescent="0.55000000000000004">
      <c r="R50" s="23" t="s">
        <v>98</v>
      </c>
      <c r="S50" s="13" t="s">
        <v>121</v>
      </c>
      <c r="T50" s="13" t="s">
        <v>82</v>
      </c>
      <c r="U50" s="14" t="s">
        <v>0</v>
      </c>
      <c r="V50" s="24">
        <v>51.29</v>
      </c>
    </row>
    <row r="51" spans="18:25" x14ac:dyDescent="0.55000000000000004">
      <c r="R51" s="13" t="s">
        <v>83</v>
      </c>
      <c r="S51" s="13" t="s">
        <v>116</v>
      </c>
      <c r="T51" s="13" t="s">
        <v>12</v>
      </c>
      <c r="U51" s="14" t="s">
        <v>0</v>
      </c>
      <c r="V51" s="24">
        <v>12.82</v>
      </c>
    </row>
    <row r="52" spans="18:25" x14ac:dyDescent="0.55000000000000004">
      <c r="R52" s="13" t="s">
        <v>83</v>
      </c>
      <c r="S52" s="13" t="s">
        <v>13</v>
      </c>
      <c r="T52" s="13" t="s">
        <v>13</v>
      </c>
      <c r="U52" s="14" t="s">
        <v>0</v>
      </c>
      <c r="V52" s="24">
        <v>400</v>
      </c>
    </row>
    <row r="53" spans="18:25" x14ac:dyDescent="0.55000000000000004">
      <c r="R53" s="13" t="s">
        <v>83</v>
      </c>
      <c r="S53" s="13" t="s">
        <v>122</v>
      </c>
      <c r="T53" s="13" t="s">
        <v>32</v>
      </c>
      <c r="U53" s="14" t="s">
        <v>0</v>
      </c>
      <c r="V53" s="24">
        <v>49.58</v>
      </c>
    </row>
    <row r="54" spans="18:25" x14ac:dyDescent="0.55000000000000004">
      <c r="R54" s="13" t="s">
        <v>83</v>
      </c>
      <c r="S54" s="13" t="s">
        <v>123</v>
      </c>
      <c r="T54" s="13" t="s">
        <v>32</v>
      </c>
      <c r="U54" s="14" t="s">
        <v>0</v>
      </c>
      <c r="V54" s="24">
        <v>109.07</v>
      </c>
    </row>
    <row r="55" spans="18:25" x14ac:dyDescent="0.55000000000000004">
      <c r="R55" s="13" t="s">
        <v>80</v>
      </c>
      <c r="S55" s="13" t="s">
        <v>118</v>
      </c>
      <c r="T55" s="13" t="s">
        <v>82</v>
      </c>
      <c r="U55" s="14" t="s">
        <v>87</v>
      </c>
      <c r="V55" s="24">
        <v>17.98</v>
      </c>
    </row>
    <row r="56" spans="18:25" x14ac:dyDescent="0.55000000000000004">
      <c r="R56" s="13" t="s">
        <v>124</v>
      </c>
      <c r="S56" s="13" t="s">
        <v>125</v>
      </c>
      <c r="T56" s="13" t="s">
        <v>12</v>
      </c>
      <c r="U56" s="14" t="s">
        <v>87</v>
      </c>
      <c r="V56" s="24">
        <v>101.75</v>
      </c>
    </row>
    <row r="57" spans="18:25" x14ac:dyDescent="0.55000000000000004">
      <c r="R57" s="12" t="s">
        <v>126</v>
      </c>
      <c r="S57" s="13" t="s">
        <v>41</v>
      </c>
      <c r="T57" s="13" t="s">
        <v>32</v>
      </c>
      <c r="U57" s="14" t="s">
        <v>53</v>
      </c>
      <c r="V57" s="24">
        <v>56.08</v>
      </c>
    </row>
    <row r="58" spans="18:25" x14ac:dyDescent="0.55000000000000004">
      <c r="R58" s="12" t="s">
        <v>126</v>
      </c>
      <c r="S58" s="13" t="s">
        <v>13</v>
      </c>
      <c r="T58" s="13" t="s">
        <v>13</v>
      </c>
      <c r="U58" s="14" t="s">
        <v>0</v>
      </c>
      <c r="V58" s="24">
        <v>400</v>
      </c>
    </row>
    <row r="59" spans="18:25" x14ac:dyDescent="0.55000000000000004">
      <c r="R59" s="12" t="s">
        <v>126</v>
      </c>
      <c r="S59" s="13" t="s">
        <v>123</v>
      </c>
      <c r="T59" s="13" t="s">
        <v>32</v>
      </c>
      <c r="U59" s="14" t="s">
        <v>0</v>
      </c>
      <c r="V59" s="24">
        <v>117.21</v>
      </c>
    </row>
    <row r="60" spans="18:25" x14ac:dyDescent="0.55000000000000004">
      <c r="R60" s="12" t="s">
        <v>126</v>
      </c>
      <c r="S60" s="13" t="s">
        <v>122</v>
      </c>
      <c r="T60" s="13" t="s">
        <v>32</v>
      </c>
      <c r="U60" s="14" t="s">
        <v>0</v>
      </c>
      <c r="V60" s="24">
        <v>53.28</v>
      </c>
    </row>
    <row r="61" spans="18:25" x14ac:dyDescent="0.55000000000000004">
      <c r="R61" s="12" t="s">
        <v>126</v>
      </c>
      <c r="S61" s="13" t="s">
        <v>104</v>
      </c>
      <c r="T61" s="13" t="s">
        <v>85</v>
      </c>
      <c r="U61" s="14" t="s">
        <v>87</v>
      </c>
      <c r="V61" s="24">
        <v>47.57</v>
      </c>
    </row>
    <row r="62" spans="18:25" x14ac:dyDescent="0.55000000000000004">
      <c r="R62" s="12" t="s">
        <v>128</v>
      </c>
      <c r="S62" s="13" t="s">
        <v>102</v>
      </c>
      <c r="T62" s="13" t="s">
        <v>82</v>
      </c>
      <c r="U62" s="14" t="s">
        <v>87</v>
      </c>
      <c r="V62" s="24">
        <v>5.29</v>
      </c>
    </row>
    <row r="63" spans="18:25" x14ac:dyDescent="0.55000000000000004">
      <c r="R63" s="13" t="s">
        <v>127</v>
      </c>
      <c r="S63" s="13" t="s">
        <v>119</v>
      </c>
      <c r="T63" s="13" t="s">
        <v>65</v>
      </c>
      <c r="U63" s="14" t="s">
        <v>87</v>
      </c>
      <c r="V63" s="24">
        <v>20.97</v>
      </c>
    </row>
    <row r="64" spans="18:25" x14ac:dyDescent="0.55000000000000004">
      <c r="R64" s="12" t="s">
        <v>128</v>
      </c>
      <c r="S64" s="13" t="s">
        <v>130</v>
      </c>
      <c r="T64" s="13" t="s">
        <v>65</v>
      </c>
      <c r="U64" s="14" t="s">
        <v>0</v>
      </c>
      <c r="V64" s="24">
        <v>15</v>
      </c>
      <c r="Y64" s="73"/>
    </row>
    <row r="65" spans="18:22" x14ac:dyDescent="0.55000000000000004">
      <c r="R65" s="12" t="s">
        <v>126</v>
      </c>
      <c r="S65" s="13" t="s">
        <v>115</v>
      </c>
      <c r="T65" s="13" t="s">
        <v>65</v>
      </c>
      <c r="U65" s="14" t="s">
        <v>87</v>
      </c>
      <c r="V65" s="24">
        <v>5.29</v>
      </c>
    </row>
    <row r="66" spans="18:22" x14ac:dyDescent="0.55000000000000004">
      <c r="R66" s="13" t="s">
        <v>128</v>
      </c>
      <c r="S66" s="13" t="s">
        <v>131</v>
      </c>
      <c r="T66" s="13" t="s">
        <v>12</v>
      </c>
      <c r="U66" s="14" t="s">
        <v>87</v>
      </c>
      <c r="V66" s="24">
        <v>2.21</v>
      </c>
    </row>
    <row r="67" spans="18:22" x14ac:dyDescent="0.55000000000000004">
      <c r="R67" s="13" t="s">
        <v>128</v>
      </c>
      <c r="S67" s="13" t="s">
        <v>132</v>
      </c>
      <c r="T67" s="13" t="s">
        <v>12</v>
      </c>
      <c r="U67" s="14" t="s">
        <v>133</v>
      </c>
      <c r="V67" s="24">
        <v>9.25</v>
      </c>
    </row>
    <row r="68" spans="18:22" x14ac:dyDescent="0.55000000000000004">
      <c r="R68" s="13" t="s">
        <v>128</v>
      </c>
      <c r="S68" s="13" t="s">
        <v>102</v>
      </c>
      <c r="T68" s="13" t="s">
        <v>82</v>
      </c>
      <c r="U68" s="14" t="s">
        <v>87</v>
      </c>
      <c r="V68" s="24">
        <v>5.29</v>
      </c>
    </row>
    <row r="69" spans="18:22" x14ac:dyDescent="0.55000000000000004">
      <c r="R69" s="13" t="s">
        <v>128</v>
      </c>
      <c r="S69" s="13" t="s">
        <v>134</v>
      </c>
      <c r="T69" s="13" t="s">
        <v>12</v>
      </c>
      <c r="U69" s="14" t="s">
        <v>87</v>
      </c>
      <c r="V69" s="24">
        <v>10.69</v>
      </c>
    </row>
    <row r="70" spans="18:22" x14ac:dyDescent="0.55000000000000004">
      <c r="R70" s="13" t="s">
        <v>128</v>
      </c>
      <c r="S70" s="13" t="s">
        <v>135</v>
      </c>
      <c r="T70" s="13" t="s">
        <v>12</v>
      </c>
      <c r="U70" s="14" t="s">
        <v>87</v>
      </c>
      <c r="V70" s="24">
        <v>12.68</v>
      </c>
    </row>
    <row r="71" spans="18:22" x14ac:dyDescent="0.55000000000000004">
      <c r="R71" s="13" t="s">
        <v>128</v>
      </c>
      <c r="S71" s="13" t="s">
        <v>136</v>
      </c>
      <c r="T71" s="13" t="s">
        <v>85</v>
      </c>
      <c r="U71" s="14" t="s">
        <v>87</v>
      </c>
      <c r="V71" s="24">
        <v>64</v>
      </c>
    </row>
    <row r="72" spans="18:22" x14ac:dyDescent="0.55000000000000004">
      <c r="R72" s="13" t="s">
        <v>128</v>
      </c>
      <c r="S72" s="13" t="s">
        <v>137</v>
      </c>
      <c r="T72" s="13" t="s">
        <v>12</v>
      </c>
      <c r="U72" s="14" t="s">
        <v>87</v>
      </c>
      <c r="V72" s="24">
        <v>13.23</v>
      </c>
    </row>
    <row r="73" spans="18:22" x14ac:dyDescent="0.55000000000000004">
      <c r="R73" s="13" t="s">
        <v>128</v>
      </c>
      <c r="S73" s="13" t="s">
        <v>99</v>
      </c>
      <c r="T73" s="13" t="s">
        <v>12</v>
      </c>
      <c r="U73" s="14" t="s">
        <v>87</v>
      </c>
      <c r="V73" s="24">
        <v>24.51</v>
      </c>
    </row>
    <row r="74" spans="18:22" x14ac:dyDescent="0.55000000000000004">
      <c r="R74" s="13" t="s">
        <v>138</v>
      </c>
      <c r="S74" s="13" t="s">
        <v>131</v>
      </c>
      <c r="T74" s="13" t="s">
        <v>12</v>
      </c>
      <c r="U74" s="14" t="s">
        <v>87</v>
      </c>
      <c r="V74" s="24">
        <v>13.48</v>
      </c>
    </row>
    <row r="75" spans="18:22" x14ac:dyDescent="0.55000000000000004">
      <c r="R75" s="13" t="s">
        <v>138</v>
      </c>
      <c r="S75" s="13" t="s">
        <v>131</v>
      </c>
      <c r="T75" s="13" t="s">
        <v>12</v>
      </c>
      <c r="U75" s="14" t="s">
        <v>87</v>
      </c>
      <c r="V75" s="24">
        <v>3.14</v>
      </c>
    </row>
    <row r="76" spans="18:22" x14ac:dyDescent="0.55000000000000004">
      <c r="R76" s="13" t="s">
        <v>138</v>
      </c>
      <c r="S76" s="13" t="s">
        <v>139</v>
      </c>
      <c r="T76" s="13" t="s">
        <v>12</v>
      </c>
      <c r="U76" s="14" t="s">
        <v>87</v>
      </c>
      <c r="V76" s="24">
        <v>77.5</v>
      </c>
    </row>
    <row r="77" spans="18:22" x14ac:dyDescent="0.55000000000000004">
      <c r="R77" s="13" t="s">
        <v>140</v>
      </c>
      <c r="S77" s="13" t="s">
        <v>115</v>
      </c>
      <c r="T77" s="13" t="s">
        <v>12</v>
      </c>
      <c r="U77" s="14" t="s">
        <v>87</v>
      </c>
      <c r="V77" s="24">
        <v>1.71</v>
      </c>
    </row>
    <row r="78" spans="18:22" x14ac:dyDescent="0.55000000000000004">
      <c r="R78" s="13" t="s">
        <v>141</v>
      </c>
      <c r="S78" s="13" t="s">
        <v>142</v>
      </c>
      <c r="T78" s="13" t="s">
        <v>82</v>
      </c>
      <c r="U78" s="14" t="s">
        <v>87</v>
      </c>
      <c r="V78" s="24">
        <v>20.87</v>
      </c>
    </row>
    <row r="79" spans="18:22" x14ac:dyDescent="0.55000000000000004">
      <c r="R79" s="13" t="s">
        <v>141</v>
      </c>
      <c r="S79" s="13" t="s">
        <v>119</v>
      </c>
      <c r="T79" s="13" t="s">
        <v>82</v>
      </c>
      <c r="U79" s="14" t="s">
        <v>87</v>
      </c>
      <c r="V79" s="24">
        <v>53.79</v>
      </c>
    </row>
    <row r="80" spans="18:22" x14ac:dyDescent="0.55000000000000004">
      <c r="R80" s="13" t="s">
        <v>141</v>
      </c>
      <c r="S80" s="13" t="s">
        <v>115</v>
      </c>
      <c r="T80" s="13" t="s">
        <v>12</v>
      </c>
      <c r="U80" s="14" t="s">
        <v>87</v>
      </c>
      <c r="V80" s="24">
        <v>3.23</v>
      </c>
    </row>
    <row r="81" spans="18:22" x14ac:dyDescent="0.55000000000000004">
      <c r="R81" s="13" t="s">
        <v>141</v>
      </c>
      <c r="S81" s="13" t="s">
        <v>143</v>
      </c>
      <c r="T81" s="13" t="s">
        <v>90</v>
      </c>
      <c r="U81" s="14" t="s">
        <v>0</v>
      </c>
      <c r="V81" s="24">
        <v>8.99</v>
      </c>
    </row>
    <row r="82" spans="18:22" x14ac:dyDescent="0.55000000000000004">
      <c r="R82" s="13" t="s">
        <v>144</v>
      </c>
      <c r="S82" s="13" t="s">
        <v>99</v>
      </c>
      <c r="T82" s="13" t="s">
        <v>12</v>
      </c>
      <c r="U82" s="14" t="s">
        <v>87</v>
      </c>
      <c r="V82" s="24">
        <v>4.7</v>
      </c>
    </row>
    <row r="83" spans="18:22" x14ac:dyDescent="0.55000000000000004">
      <c r="R83" s="13" t="s">
        <v>144</v>
      </c>
      <c r="S83" s="13" t="s">
        <v>145</v>
      </c>
      <c r="T83" s="13" t="s">
        <v>85</v>
      </c>
      <c r="U83" s="14" t="s">
        <v>87</v>
      </c>
      <c r="V83" s="24">
        <v>57.95</v>
      </c>
    </row>
    <row r="84" spans="18:22" x14ac:dyDescent="0.55000000000000004">
      <c r="R84" s="13" t="s">
        <v>144</v>
      </c>
      <c r="S84" s="13" t="s">
        <v>115</v>
      </c>
      <c r="T84" s="13" t="s">
        <v>12</v>
      </c>
      <c r="U84" s="14" t="s">
        <v>87</v>
      </c>
      <c r="V84" s="24">
        <v>3.42</v>
      </c>
    </row>
    <row r="85" spans="18:22" x14ac:dyDescent="0.55000000000000004">
      <c r="R85" s="13" t="s">
        <v>144</v>
      </c>
      <c r="S85" s="13" t="s">
        <v>41</v>
      </c>
      <c r="T85" s="13" t="s">
        <v>32</v>
      </c>
      <c r="U85" s="14" t="s">
        <v>0</v>
      </c>
      <c r="V85" s="24">
        <v>50.64</v>
      </c>
    </row>
    <row r="86" spans="18:22" x14ac:dyDescent="0.55000000000000004">
      <c r="R86" s="13" t="s">
        <v>144</v>
      </c>
      <c r="S86" s="13" t="s">
        <v>123</v>
      </c>
      <c r="T86" s="13" t="s">
        <v>32</v>
      </c>
      <c r="U86" s="14" t="s">
        <v>0</v>
      </c>
      <c r="V86" s="24">
        <v>108.16</v>
      </c>
    </row>
    <row r="87" spans="18:22" x14ac:dyDescent="0.55000000000000004">
      <c r="R87" s="13" t="s">
        <v>144</v>
      </c>
      <c r="S87" s="13" t="s">
        <v>122</v>
      </c>
      <c r="T87" s="13" t="s">
        <v>32</v>
      </c>
      <c r="U87" s="14" t="s">
        <v>0</v>
      </c>
      <c r="V87" s="24">
        <v>49.17</v>
      </c>
    </row>
    <row r="88" spans="18:22" x14ac:dyDescent="0.55000000000000004">
      <c r="R88" s="13" t="s">
        <v>144</v>
      </c>
      <c r="S88" s="13" t="s">
        <v>13</v>
      </c>
      <c r="T88" s="13" t="s">
        <v>13</v>
      </c>
      <c r="U88" s="14" t="s">
        <v>0</v>
      </c>
      <c r="V88" s="24">
        <v>400</v>
      </c>
    </row>
    <row r="89" spans="18:22" x14ac:dyDescent="0.55000000000000004">
      <c r="R89" s="13" t="s">
        <v>141</v>
      </c>
      <c r="S89" s="13" t="s">
        <v>119</v>
      </c>
      <c r="T89" s="13" t="s">
        <v>82</v>
      </c>
      <c r="U89" s="14" t="s">
        <v>87</v>
      </c>
      <c r="V89" s="24">
        <v>25.93</v>
      </c>
    </row>
    <row r="90" spans="18:22" x14ac:dyDescent="0.55000000000000004">
      <c r="R90" s="13" t="s">
        <v>144</v>
      </c>
      <c r="S90" s="13" t="s">
        <v>61</v>
      </c>
      <c r="T90" s="13" t="s">
        <v>12</v>
      </c>
      <c r="U90" s="14" t="s">
        <v>87</v>
      </c>
      <c r="V90" s="24">
        <v>53.99</v>
      </c>
    </row>
    <row r="91" spans="18:22" x14ac:dyDescent="0.55000000000000004">
      <c r="R91" s="13" t="s">
        <v>144</v>
      </c>
      <c r="S91" s="13" t="s">
        <v>146</v>
      </c>
      <c r="T91" s="13" t="s">
        <v>82</v>
      </c>
      <c r="U91" s="14" t="s">
        <v>0</v>
      </c>
      <c r="V91" s="24">
        <v>5.99</v>
      </c>
    </row>
  </sheetData>
  <mergeCells count="8">
    <mergeCell ref="AL1:AQ1"/>
    <mergeCell ref="Y2:AB2"/>
    <mergeCell ref="B3:C3"/>
    <mergeCell ref="B1:C1"/>
    <mergeCell ref="F1:I1"/>
    <mergeCell ref="L1:O1"/>
    <mergeCell ref="R1:V1"/>
    <mergeCell ref="Y1:AI1"/>
  </mergeCells>
  <hyperlinks>
    <hyperlink ref="Y2" r:id="rId1" xr:uid="{B6CE16D6-BEAD-4F06-982F-B07017B7A169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7169" r:id="rId5" name="ExpensesBreakdown">
          <controlPr defaultSize="0" autoLine="0" r:id="rId6">
            <anchor moveWithCells="1">
              <from>
                <xdr:col>24</xdr:col>
                <xdr:colOff>120650</xdr:colOff>
                <xdr:row>9</xdr:row>
                <xdr:rowOff>298450</xdr:rowOff>
              </from>
              <to>
                <xdr:col>25</xdr:col>
                <xdr:colOff>1530350</xdr:colOff>
                <xdr:row>13</xdr:row>
                <xdr:rowOff>158750</xdr:rowOff>
              </to>
            </anchor>
          </controlPr>
        </control>
      </mc:Choice>
      <mc:Fallback>
        <control shapeId="7169" r:id="rId5" name="ExpensesBreakdow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691C37EE231B24CB1E998FD62E11721" ma:contentTypeVersion="9" ma:contentTypeDescription="Create a new document." ma:contentTypeScope="" ma:versionID="98558b51cccc0525576023b11a11cb93">
  <xsd:schema xmlns:xsd="http://www.w3.org/2001/XMLSchema" xmlns:xs="http://www.w3.org/2001/XMLSchema" xmlns:p="http://schemas.microsoft.com/office/2006/metadata/properties" xmlns:ns3="f3162e85-6297-4ae1-8bd9-df6fb17d2330" xmlns:ns4="e8ef7085-31f7-409e-8178-f7c1932c7b22" targetNamespace="http://schemas.microsoft.com/office/2006/metadata/properties" ma:root="true" ma:fieldsID="76897268a913a01bbc98fa5e3b2469b0" ns3:_="" ns4:_="">
    <xsd:import namespace="f3162e85-6297-4ae1-8bd9-df6fb17d2330"/>
    <xsd:import namespace="e8ef7085-31f7-409e-8178-f7c1932c7b2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162e85-6297-4ae1-8bd9-df6fb17d233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ef7085-31f7-409e-8178-f7c1932c7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8ef7085-31f7-409e-8178-f7c1932c7b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7DFF15-323B-4D5F-9CD7-F32A6350BB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162e85-6297-4ae1-8bd9-df6fb17d2330"/>
    <ds:schemaRef ds:uri="e8ef7085-31f7-409e-8178-f7c1932c7b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73ABAA-0AD6-4E44-AEE2-C2777BCCE934}">
  <ds:schemaRefs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f3162e85-6297-4ae1-8bd9-df6fb17d2330"/>
    <ds:schemaRef ds:uri="e8ef7085-31f7-409e-8178-f7c1932c7b22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14C0CD3-F6E8-40A1-B308-1E9C7D8F7D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FORM</vt:lpstr>
      <vt:lpstr>MONTHS --&gt;</vt:lpstr>
      <vt:lpstr>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Li</dc:creator>
  <cp:lastModifiedBy>Vincent Li</cp:lastModifiedBy>
  <dcterms:created xsi:type="dcterms:W3CDTF">2024-06-01T19:30:47Z</dcterms:created>
  <dcterms:modified xsi:type="dcterms:W3CDTF">2024-11-30T19:54:13Z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0x010100E691C37EE231B24CB1E998FD62E11721</vt:lpwstr>
  </property>
</Properties>
</file>